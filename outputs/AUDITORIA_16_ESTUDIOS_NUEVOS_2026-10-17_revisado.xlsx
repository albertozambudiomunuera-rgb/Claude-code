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Auditoria_16" sheetId="2" state="visible" r:id="rId4"/>
    <sheet name="Resultados_89" sheetId="3" state="visible" r:id="rId5"/>
    <sheet name="Informe_CIT0066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<sst xmlns="http://schemas.openxmlformats.org/spreadsheetml/2006/main" count="1576" uniqueCount="598">
  <si>
    <t xml:space="preserve">Auditoría humana de los 16 estudios nuevos</t>
  </si>
  <si>
    <t xml:space="preserve">Verificación de la extracción estructurada antes del envío a IJMI — 16 estudios, 89 resultados y un informe adicional vinculado</t>
  </si>
  <si>
    <t xml:space="preserve">Qué está cerrado</t>
  </si>
  <si>
    <t xml:space="preserve">Corpus/PRISMA y riesgo de sesgo. No es necesario repetirlos salvo que la fuente revele un error material.</t>
  </si>
  <si>
    <t xml:space="preserve">Qué se audita</t>
  </si>
  <si>
    <t xml:space="preserve">Exactitud de diseño, muestra, sistema de IA, comparador, clasificación clínica y cada estimación extraída.</t>
  </si>
  <si>
    <t xml:space="preserve">Paso 1</t>
  </si>
  <si>
    <t xml:space="preserve">Abra la fuente indicada en Auditoria_16 y confirme la fila del estudio.</t>
  </si>
  <si>
    <t xml:space="preserve">Paso 2</t>
  </si>
  <si>
    <t xml:space="preserve">Revise en Resultados_89 todas las filas con ese Study_unit_ID.</t>
  </si>
  <si>
    <t xml:space="preserve">Paso 3</t>
  </si>
  <si>
    <t xml:space="preserve">Seleccione CONFIRMADO, CORREGIR o DUDA. Para una estimación no localizada use NO_LOCALIZADO.</t>
  </si>
  <si>
    <t xml:space="preserve">Paso 4</t>
  </si>
  <si>
    <t xml:space="preserve">Describa cualquier cambio con el valor correcto y, si es posible, página/tabla/figura.</t>
  </si>
  <si>
    <t xml:space="preserve">Informe CIT-0066</t>
  </si>
  <si>
    <t xml:space="preserve">Aporta cuatro resultados al programa IGNITE ya existente. Se audita aparte y no cuenta entre los 16 estudios nuevos.</t>
  </si>
  <si>
    <t xml:space="preserve">Cierre</t>
  </si>
  <si>
    <t xml:space="preserve">La auditoría termina cuando las 16 filas y las 89 estimaciones están confirmadas o corregidas, sin DUDA ni NO_LOCALIZADO pendientes.</t>
  </si>
  <si>
    <t xml:space="preserve">Regla práctica</t>
  </si>
  <si>
    <t xml:space="preserve">Si el texto y la tabla difieren, registre la discrepancia y priorice el análisis principal definido por los autores.</t>
  </si>
  <si>
    <t xml:space="preserve">Control</t>
  </si>
  <si>
    <t xml:space="preserve">Valor</t>
  </si>
  <si>
    <t xml:space="preserve">Objetivo</t>
  </si>
  <si>
    <t xml:space="preserve">Interpretación</t>
  </si>
  <si>
    <t xml:space="preserve">Estudios confirmados</t>
  </si>
  <si>
    <t xml:space="preserve">Debe llegar a 16</t>
  </si>
  <si>
    <t xml:space="preserve">Estudios con corrección</t>
  </si>
  <si>
    <t xml:space="preserve">Resolver y volver a marcar</t>
  </si>
  <si>
    <t xml:space="preserve">Resultados confirmados</t>
  </si>
  <si>
    <t xml:space="preserve">Debe llegar a 89</t>
  </si>
  <si>
    <t xml:space="preserve">Resultados con corrección</t>
  </si>
  <si>
    <t xml:space="preserve">Resultados con duda/no localizado</t>
  </si>
  <si>
    <t xml:space="preserve">Debe llegar a 0</t>
  </si>
  <si>
    <t xml:space="preserve">Auditoría de características — 16 estudios</t>
  </si>
  <si>
    <t xml:space="preserve">Las columnas amarillas son las únicas que deben completar los revisores.</t>
  </si>
  <si>
    <t xml:space="preserve">Nº</t>
  </si>
  <si>
    <t xml:space="preserve">Study_unit_ID</t>
  </si>
  <si>
    <t xml:space="preserve">Report_ID</t>
  </si>
  <si>
    <t xml:space="preserve">Año</t>
  </si>
  <si>
    <t xml:space="preserve">Título</t>
  </si>
  <si>
    <t xml:space="preserve">Cáncer</t>
  </si>
  <si>
    <t xml:space="preserve">Función clínica</t>
  </si>
  <si>
    <t xml:space="preserve">Diseño</t>
  </si>
  <si>
    <t xml:space="preserve">Prospectivo</t>
  </si>
  <si>
    <t xml:space="preserve">País / centros</t>
  </si>
  <si>
    <t xml:space="preserve">N reclutado</t>
  </si>
  <si>
    <t xml:space="preserve">N analizado</t>
  </si>
  <si>
    <t xml:space="preserve">Sistema de IA</t>
  </si>
  <si>
    <t xml:space="preserve">Tarea</t>
  </si>
  <si>
    <t xml:space="preserve">Comparador</t>
  </si>
  <si>
    <t xml:space="preserve">Contexto de uso</t>
  </si>
  <si>
    <t xml:space="preserve">Modelo bloqueado</t>
  </si>
  <si>
    <t xml:space="preserve">Validación externa</t>
  </si>
  <si>
    <t xml:space="preserve">ECA de uso real de IA</t>
  </si>
  <si>
    <t xml:space="preserve">Workflow observado</t>
  </si>
  <si>
    <t xml:space="preserve">Resultado de paciente</t>
  </si>
  <si>
    <t xml:space="preserve">Información monetaria</t>
  </si>
  <si>
    <t xml:space="preserve">Herramienta RoB</t>
  </si>
  <si>
    <t xml:space="preserve">Juicio RoB final</t>
  </si>
  <si>
    <t xml:space="preserve">Filas de resultados</t>
  </si>
  <si>
    <t xml:space="preserve">DOI</t>
  </si>
  <si>
    <t xml:space="preserve">Fuente local</t>
  </si>
  <si>
    <t xml:space="preserve">Estado de fuente</t>
  </si>
  <si>
    <t xml:space="preserve">Estado de auditoría</t>
  </si>
  <si>
    <t xml:space="preserve">Corrección / notas</t>
  </si>
  <si>
    <t xml:space="preserve">Revisor</t>
  </si>
  <si>
    <t xml:space="preserve">Fecha</t>
  </si>
  <si>
    <t xml:space="preserve">STUDY-CIT-0002</t>
  </si>
  <si>
    <t xml:space="preserve">CIT-0002</t>
  </si>
  <si>
    <t xml:space="preserve">Large language model–assisted preoperative communication reduces patient anxiety and physician workload in prostate cancer: a prospective randomized phase II trial</t>
  </si>
  <si>
    <t xml:space="preserve">Próstata</t>
  </si>
  <si>
    <t xml:space="preserve">Información y decisión del paciente</t>
  </si>
  <si>
    <t xml:space="preserve">Prospective randomized single-blind phase II trial of actual LLM-assisted preoperative communication</t>
  </si>
  <si>
    <t xml:space="preserve">Sí</t>
  </si>
  <si>
    <t xml:space="preserve">China / 1</t>
  </si>
  <si>
    <t xml:space="preserve">Locally deployed large language model communication system</t>
  </si>
  <si>
    <t xml:space="preserve">Personalized preoperative information and question answering</t>
  </si>
  <si>
    <t xml:space="preserve">Infographic plus routine face-to-face consultation</t>
  </si>
  <si>
    <t xml:space="preserve">Preoperative radical-prostatectomy communication</t>
  </si>
  <si>
    <t xml:space="preserve">No</t>
  </si>
  <si>
    <t xml:space="preserve">RoB 2</t>
  </si>
  <si>
    <t xml:space="preserve">RoB 2: ALTO; RoB 2: ALTO</t>
  </si>
  <si>
    <t xml:space="preserve">10.1038/s41746-026-03309-7</t>
  </si>
  <si>
    <t xml:space="preserve">/Users/albertozambudio/Desktop/IA/scientific-review-ai/outputs/ijmi-final-closeout-20261015/citation_fulltexts/CIT-0002.pdf</t>
  </si>
  <si>
    <t xml:space="preserve">FULL_REPORT_AVAILABLE</t>
  </si>
  <si>
    <t xml:space="preserve">DUDA</t>
  </si>
  <si>
    <t xml:space="preserve">Verificado en resumen: ECA fase II prospectivo, simple ciego, aleatorizado por habitación (room); 268 aleatorizados (control 130; IA 138); LLM desplegado localmente antes de la consulta presencial rutinaria; NCT07082049. NO verificable sin texto completo: 'Infographic' en el comparador, 'China / 1' centro, N analizado = 268. Sugerencia: añadir en Diseño 'randomized by room (cluster-type allocation)'. Fuente consultada: solo resumen (Crossref, DOI 10.1038/s41746-026-03309-7); texto completo no accesible desde este entorno.</t>
  </si>
  <si>
    <t xml:space="preserve">Claude (IA) - requiere validación humana</t>
  </si>
  <si>
    <t xml:space="preserve">2026-10-17</t>
  </si>
  <si>
    <t xml:space="preserve">STUDY-CIT-0007</t>
  </si>
  <si>
    <t xml:space="preserve">CIT-0007</t>
  </si>
  <si>
    <t xml:space="preserve">A Multimodal Artificial Intelligence Model to Guide Use of Whole-Pelvic Radiation Therapy in Patients with Localized Prostate Cancer: Exploratory Analysis of RTOG 9413</t>
  </si>
  <si>
    <t xml:space="preserve">Selección de tratamiento y pronóstico</t>
  </si>
  <si>
    <t xml:space="preserve">Retrospective exploratory locked-model analysis of randomized RTOG 9413 trial material</t>
  </si>
  <si>
    <t xml:space="preserve">United States / Multicentre trial</t>
  </si>
  <si>
    <t xml:space="preserve">Multimodal pathology-clinical AI risk model</t>
  </si>
  <si>
    <t xml:space="preserve">Explore differential benefit from whole-pelvic radiotherapy</t>
  </si>
  <si>
    <t xml:space="preserve">Whole-pelvic versus prostate-only radiotherapy</t>
  </si>
  <si>
    <t xml:space="preserve">Secondary biomarker analysis; AI did not allocate treatment</t>
  </si>
  <si>
    <t xml:space="preserve">PROBAST+AI</t>
  </si>
  <si>
    <t xml:space="preserve">PROBAST+AI: ALTO</t>
  </si>
  <si>
    <t xml:space="preserve">10.3390/cancers18121982</t>
  </si>
  <si>
    <t xml:space="preserve">/Users/albertozambudio/Desktop/IA/scientific-review-ai/outputs/ijmi-final-closeout-20261015/citation_fulltexts/PMC13296454.xml</t>
  </si>
  <si>
    <t xml:space="preserve">CONFIRMADO</t>
  </si>
  <si>
    <t xml:space="preserve">Resultados §3 y resumen: 81 pacientes NHT de RTOG 9413 no usados en el desarrollo del MMAI; Fine-Gray con interacción; modelo previamente validado aplicado sin cambios.</t>
  </si>
  <si>
    <t xml:space="preserve">STUDY-CIT-0039</t>
  </si>
  <si>
    <t xml:space="preserve">CIT-0039</t>
  </si>
  <si>
    <t xml:space="preserve">Development and prospective validation of a multitarget urine RNA assay for noninvasive detection of urothelial carcinoma</t>
  </si>
  <si>
    <t xml:space="preserve">Vejiga/urotelial</t>
  </si>
  <si>
    <t xml:space="preserve">Diagnóstico</t>
  </si>
  <si>
    <t xml:space="preserve">Prospective multicentre diagnostic validation after model development</t>
  </si>
  <si>
    <t xml:space="preserve">China / 3</t>
  </si>
  <si>
    <t xml:space="preserve">Multitarget urine RNA assay</t>
  </si>
  <si>
    <t xml:space="preserve">Non-invasive detection of urothelial carcinoma</t>
  </si>
  <si>
    <t xml:space="preserve">Endoscopy/pathology reference standard</t>
  </si>
  <si>
    <t xml:space="preserve">Haematuria investigation and surveillance</t>
  </si>
  <si>
    <t xml:space="preserve">QUADAS-3</t>
  </si>
  <si>
    <t xml:space="preserve">QUADAS-3: ALTO</t>
  </si>
  <si>
    <t xml:space="preserve">10.1016/j.isci.2025.114154</t>
  </si>
  <si>
    <t xml:space="preserve">/Users/albertozambudio/Desktop/IA/scientific-review-ai/outputs/ijmi-final-closeout-20261015/citation_fulltexts/PMC12744290.xml</t>
  </si>
  <si>
    <t xml:space="preserve">CORREGIR</t>
  </si>
  <si>
    <t xml:space="preserve">K (N reclutado) debe ser 846: 'Urine samples from a total of 846 participants were prospectively collected... 94 individuals who did not meet the criteria were excluded' (Results, Patient enrollment); 752 analizados (L correcto). Resto confirmado: 3 centros chinos, junio 2022-sept 2023.</t>
  </si>
  <si>
    <t xml:space="preserve">STUDY-LIB-00465-NEW</t>
  </si>
  <si>
    <t xml:space="preserve">LIB-00465</t>
  </si>
  <si>
    <t xml:space="preserve">AI-Based Pathology classifier Predicts Sensitivity to Enzalutamide in Metastatic Hormone-Sensitive Prostate Cancer: A Biomarker Analysis of the ENZAMET Trial.</t>
  </si>
  <si>
    <t xml:space="preserve">Locked biomarker validation and treatment-interaction analysis in ENZAMET randomized trial material</t>
  </si>
  <si>
    <t xml:space="preserve">International / Multicentre trial</t>
  </si>
  <si>
    <t xml:space="preserve">ArteraAI pathology image classifier (APIC)</t>
  </si>
  <si>
    <t xml:space="preserve">Predict enzalutamide treatment benefit</t>
  </si>
  <si>
    <t xml:space="preserve">Enzalutamide versus standard non-steroidal antiandrogen</t>
  </si>
  <si>
    <t xml:space="preserve">Retrospective biomarker analysis; AI did not allocate treatment</t>
  </si>
  <si>
    <t xml:space="preserve">10.1158/1078-0432.ccr-26-0871</t>
  </si>
  <si>
    <t xml:space="preserve">/Users/albertozambudio/Desktop/IA/scientific-review-ai/outputs/ijmi-final-corpus-prisma-20261016/fulltext_retrieval_11_20261016/LIB-00465.pdf</t>
  </si>
  <si>
    <t xml:space="preserve">Results 'Participant characteristics': 1125 en ENZAMET, 492 con APIC (43,7%); 83 centros en 6 países; APIC bloqueado y aplicado sin modificación; análisis primario preespecificado.</t>
  </si>
  <si>
    <t xml:space="preserve">STUDY-LIB-00696-NEW</t>
  </si>
  <si>
    <t xml:space="preserve">LIB-00696</t>
  </si>
  <si>
    <t xml:space="preserve">An artificial intelligence algorithm for prostate cancer diagnosis in whole slide images of core needle biopsies: a blinded clinical validation and deployment study.</t>
  </si>
  <si>
    <t xml:space="preserve">Caracterización patológica</t>
  </si>
  <si>
    <t xml:space="preserve">Blinded external validation followed by real-world second-read deployment</t>
  </si>
  <si>
    <t xml:space="preserve">Israel / 2 laboratories</t>
  </si>
  <si>
    <t xml:space="preserve">Galen Prostate</t>
  </si>
  <si>
    <t xml:space="preserve">Cancer detection and Gleason grading as a second read</t>
  </si>
  <si>
    <t xml:space="preserve">Expert pathology reference and routine workflow</t>
  </si>
  <si>
    <t xml:space="preserve">Routine pathology deployment in 941 cases/11,429 slides</t>
  </si>
  <si>
    <t xml:space="preserve">QUADAS-3; JBI</t>
  </si>
  <si>
    <t xml:space="preserve">QUADAS-3: ALTO; JBI: MODERADO</t>
  </si>
  <si>
    <t xml:space="preserve">10.1016/s2589-7500(20)30159-x</t>
  </si>
  <si>
    <t xml:space="preserve">/Users/albertozambudio/Desktop/IA/scientific-review-ai/outputs/ijmi-final-corpus-prisma-20261016/fulltext_retrieval_11_20261016/LIB-00696.pdf</t>
  </si>
  <si>
    <t xml:space="preserve">Resumen confirma: validación externa en 100 casos consecutivos (1627 láminas) + despliegue en 941 casos/11.429 láminas (100+941 = 1041 = K). NO verificable sin texto completo: 'Israel / 2 laboratories'; revisar en Métodos el origen de la cohorte de validación externa (posible centro no israelí, p. ej. UPMC, EE. UU.), en cuyo caso País debería incluir ambos países. Fuente: solo resumen PubMed (PMID 33328045).</t>
  </si>
  <si>
    <t xml:space="preserve">STUDY-LIB-01211-NEW</t>
  </si>
  <si>
    <t xml:space="preserve">LIB-01211</t>
  </si>
  <si>
    <t xml:space="preserve">A novel 3D deep learning model to automatically demonstrate renal artery segmentation and its validation in nephron-sparing surgery.</t>
  </si>
  <si>
    <t xml:space="preserve">Riñón</t>
  </si>
  <si>
    <t xml:space="preserve">Cirugía</t>
  </si>
  <si>
    <t xml:space="preserve">Prospective single-centre clinical application of AI-derived 3D renal-artery models</t>
  </si>
  <si>
    <t xml:space="preserve">TKP three-dimensional kidney perfusion model</t>
  </si>
  <si>
    <t xml:space="preserve">Renal-artery segmentation and selective-clamping guidance</t>
  </si>
  <si>
    <t xml:space="preserve">Intraoperative ICG perfusion</t>
  </si>
  <si>
    <t xml:space="preserve">Laparoscopic partial nephrectomy with selective renal-artery clamping</t>
  </si>
  <si>
    <t xml:space="preserve">JBI</t>
  </si>
  <si>
    <t xml:space="preserve">JBI: MODERADO</t>
  </si>
  <si>
    <t xml:space="preserve">10.3389/fonc.2022.997911</t>
  </si>
  <si>
    <t xml:space="preserve">/Users/albertozambudio/Desktop/IA/scientific-review-ai/outputs/ijmi-fulltext-112-20261016/fulltexts_md/LIB-01211_PMC9614169.md</t>
  </si>
  <si>
    <t xml:space="preserve">Métodos y Resultados: 131 pacientes, abril 2018-enero 2020, un centro (Nanjing), modelo TKP con ICG/NIRF como comparador. Nota: el texto no usa literalmente 'prospective'; la clasificación se infiere de la aplicación preoperatoria y la medición intraoperatoria.</t>
  </si>
  <si>
    <t xml:space="preserve">STUDY-LIB-02104-NEW</t>
  </si>
  <si>
    <t xml:space="preserve">LIB-02104</t>
  </si>
  <si>
    <t xml:space="preserve">Evaluation of a Cascaded Deep Learning-based Algorithm for Prostate Lesion Detection at Biparametric MRI.</t>
  </si>
  <si>
    <t xml:space="preserve">Secondary analysis of a prospective consecutive registry with previously developed model</t>
  </si>
  <si>
    <t xml:space="preserve">United States / 1</t>
  </si>
  <si>
    <t xml:space="preserve">Cascaded prostate MRI lesion-detection algorithm</t>
  </si>
  <si>
    <t xml:space="preserve">Detect clinically significant prostate cancer and localize lesions</t>
  </si>
  <si>
    <t xml:space="preserve">Prospective radiologist PI-RADS and histopathology</t>
  </si>
  <si>
    <t xml:space="preserve">Offline evaluation in a prospective registry</t>
  </si>
  <si>
    <t xml:space="preserve">10.1148/radiol.230750</t>
  </si>
  <si>
    <t xml:space="preserve">/Users/albertozambudio/Desktop/IA/scientific-review-ai/outputs/ijmi-final-corpus-prisma-20261016/fulltext_retrieval_11_20261016/LIB-02104.pdf</t>
  </si>
  <si>
    <t xml:space="preserve">Resumen (PMC11140533): análisis secundario de registro prospectivo, consecutivos abr 2019-sep 2022, 658 participantes, algoritmo previamente desarrollado, comparado con PI-RADS del radiólogo e histopatología. País/centro según afiliación (no figura en el resumen).</t>
  </si>
  <si>
    <t xml:space="preserve">STUDY-LIB-02150-NEW</t>
  </si>
  <si>
    <t xml:space="preserve">LIB-02150</t>
  </si>
  <si>
    <t xml:space="preserve">AI-based automated evaluation of image quality and protocol tailoring in patients undergoing MRI for suspected prostate cancer.</t>
  </si>
  <si>
    <t xml:space="preserve">Prospective real-time clinical workflow evaluation</t>
  </si>
  <si>
    <t xml:space="preserve">Switzerland / 1</t>
  </si>
  <si>
    <t xml:space="preserve">Automated prostate-MRI image-quality and protocol-tailoring system</t>
  </si>
  <si>
    <t xml:space="preserve">Determine whether dynamic contrast enhancement was required</t>
  </si>
  <si>
    <t xml:space="preserve">Expert radiologist protocol decision</t>
  </si>
  <si>
    <t xml:space="preserve">Live operation while patients remained in the scanner</t>
  </si>
  <si>
    <t xml:space="preserve">QUADAS-3: INFORMACIÓN INSUFICIENTE</t>
  </si>
  <si>
    <t xml:space="preserve">10.1016/j.ejrad.2024.111581</t>
  </si>
  <si>
    <t xml:space="preserve">/Users/albertozambudio/Desktop/IA/scientific-review-ai/outputs/ijmi-final-corpus-prisma-20261016/fulltext_retrieval_11_20261016/LIB-02150.pdf</t>
  </si>
  <si>
    <t xml:space="preserve">Resumen confirma: aplicación desarrollada y validada en entorno clínico, integrada en el workflow, referencia = radiólogo experto, consentimiento específico dispensado. NO verificable sin texto completo: N = 52, 'Prospective real-time' y 'Live operation while patients remained in the scanner'. Fuente: solo resumen PubMed (PMID 38925042).</t>
  </si>
  <si>
    <t xml:space="preserve">STUDY-LIB-02172-NEW</t>
  </si>
  <si>
    <t xml:space="preserve">LIB-02172</t>
  </si>
  <si>
    <t xml:space="preserve">Artificial intelligence links CT images to pathologic features and survival outcomes of renal masses.</t>
  </si>
  <si>
    <t xml:space="preserve">Multicohort development with external and prospective multicentre validation and outcome linkage</t>
  </si>
  <si>
    <t xml:space="preserve">China and public datasets / 6 plus public datasets</t>
  </si>
  <si>
    <t xml:space="preserve">Multiphase CT deep-learning models</t>
  </si>
  <si>
    <t xml:space="preserve">Predict renal-mass malignancy, aggressiveness and prognosis</t>
  </si>
  <si>
    <t xml:space="preserve">Radiologists, radiomics and nephrometry score</t>
  </si>
  <si>
    <t xml:space="preserve">Offline validation with prospective reader assistance experiment</t>
  </si>
  <si>
    <t xml:space="preserve">PROBAST+AI: ALTO; PROBAST+AI: ALTO; PROBAST+AI: ALTO</t>
  </si>
  <si>
    <t xml:space="preserve">10.1038/s41467-025-56784-z</t>
  </si>
  <si>
    <t xml:space="preserve">/Users/albertozambudio/Desktop/IA/scientific-review-ai/outputs/ijmi-fulltext-112-20261016/fulltexts_md/LIB-02172_PMC11802731.md</t>
  </si>
  <si>
    <t xml:space="preserve">Results: 4557 pacientes = 4169 de 6 centros chinos + 388 TCIA; cohorte de test prospectiva multicéntrica (oct 2021-jun 2022); comparadores: 7 radiólogos, radiómica y nomograma de nefrometría; experimento de lectura asistida.</t>
  </si>
  <si>
    <t xml:space="preserve">STUDY-LIB-02236-NEW</t>
  </si>
  <si>
    <t xml:space="preserve">LIB-02236</t>
  </si>
  <si>
    <t xml:space="preserve">Evaluation of a multigenomic liquid biopsy (PROSTest) for prostate cancer detection and follow-up in a Caribbean population</t>
  </si>
  <si>
    <t xml:space="preserve">Prospective single-centre diagnostic cohort with limited one-year follow-up</t>
  </si>
  <si>
    <t xml:space="preserve">Trinidad and Tobago / 1</t>
  </si>
  <si>
    <t xml:space="preserve">PROSTest</t>
  </si>
  <si>
    <t xml:space="preserve">Blood-based detection of prostate cancer</t>
  </si>
  <si>
    <t xml:space="preserve">PSA and biopsy/pathology</t>
  </si>
  <si>
    <t xml:space="preserve">Prostate-cancer screening and diagnostic work-up</t>
  </si>
  <si>
    <t xml:space="preserve">10.1016/j.canep.2024.102642</t>
  </si>
  <si>
    <t xml:space="preserve">/Users/albertozambudio/Desktop/IA/scientific-review-ai/outputs/ijmi-final-corpus-prisma-20261016/fulltext_retrieval_11_20261016/LIB-02236.pdf</t>
  </si>
  <si>
    <t xml:space="preserve">País: las afiliaciones son University of the West Indies Cave Hill (Barbados) y The Barbados Cancer Society; el centro de referencia sería de Barbados, no Trinidad y Tobago. Verificar en Métodos y corregir J a 'Barbados / 1'. Resto coherente con el resumen (509 hombres; 2 cohortes; seguimiento a 1 año en 43/111). Fuente: solo resumen PubMed (PMID 39121520).</t>
  </si>
  <si>
    <t xml:space="preserve">STUDY-LIB-02612-NEW</t>
  </si>
  <si>
    <t xml:space="preserve">LIB-02612</t>
  </si>
  <si>
    <t xml:space="preserve">Validation and Derivation of miRNA-Based Germline Signatures Predicting Radiation Toxicity in Prostate Cancer</t>
  </si>
  <si>
    <t xml:space="preserve">Prespecified validation and model derivation using prospective randomized MIRAGE trial material</t>
  </si>
  <si>
    <t xml:space="preserve">United States / 1 trial centre</t>
  </si>
  <si>
    <t xml:space="preserve">PROSTOX and derived germline miRNA signatures</t>
  </si>
  <si>
    <t xml:space="preserve">Predict acute, chronic and late genitourinary toxicity after SBRT</t>
  </si>
  <si>
    <t xml:space="preserve">Observed CTCAE toxicity; MRI- versus CT-guided SBRT strata</t>
  </si>
  <si>
    <t xml:space="preserve">Biomarker analysis; signatures did not allocate treatment</t>
  </si>
  <si>
    <t xml:space="preserve">10.1158/1078-0432.ccr-24-3951</t>
  </si>
  <si>
    <t xml:space="preserve">/Users/albertozambudio/Desktop/IA/scientific-review-ai/outputs/ijmi-fulltext-112-20261016/fulltexts_md/LIB-02612_PMC12163599.md</t>
  </si>
  <si>
    <t xml:space="preserve">Métodos: MIRAGE, 156 aleatorizados, 148 con muestra disponible a 2 años; UCLA; PROSTOX validado y firmas aguda/crónica derivadas (LOOCV).</t>
  </si>
  <si>
    <t xml:space="preserve">STUDY-LIB-03027-NEW</t>
  </si>
  <si>
    <t xml:space="preserve">LIB-03027</t>
  </si>
  <si>
    <t xml:space="preserve">Utility of the PROSTest, a Novel Blood-Based Molecular Assay, Versus PSA for Prostate Cancer Stratification and Detection of Disease.</t>
  </si>
  <si>
    <t xml:space="preserve">Prospective single-centre diagnostic accuracy study</t>
  </si>
  <si>
    <t xml:space="preserve">Poland / 1</t>
  </si>
  <si>
    <t xml:space="preserve">Detect and stratify prostate cancer before biopsy</t>
  </si>
  <si>
    <t xml:space="preserve">PSA and image-guided biopsy/pathology</t>
  </si>
  <si>
    <t xml:space="preserve">Prospective diagnostic work-up</t>
  </si>
  <si>
    <t xml:space="preserve">QUADAS-3: ALTO; QUADAS-3: ALTO</t>
  </si>
  <si>
    <t xml:space="preserve">10.1002/pros.70086</t>
  </si>
  <si>
    <t xml:space="preserve">/Users/albertozambudio/Desktop/IA/scientific-review-ai/outputs/ijmi-fulltext-112-20261016/fulltexts_md/LIB-03027_PMC12789906.md</t>
  </si>
  <si>
    <t xml:space="preserve">Results: 123 evaluados, 105 elegibles y biopsiados (MRI-US fusion, UroNav); Medical University of Silesia; diseño prospectivo STARD.</t>
  </si>
  <si>
    <t xml:space="preserve">STUDY-LIB-03307-NEW</t>
  </si>
  <si>
    <t xml:space="preserve">LIB-03307</t>
  </si>
  <si>
    <t xml:space="preserve">Impact of Computational Histology AI Biomarkers on Clinical Management Decisions in Non-Muscle Invasive Bladder Cancer: A Multi-Center Real-World Study.</t>
  </si>
  <si>
    <t xml:space="preserve">Multicentre real-world observational pre/post decision-impact study</t>
  </si>
  <si>
    <t xml:space="preserve">United States / 6</t>
  </si>
  <si>
    <t xml:space="preserve">Vesta Bladder CHAI biomarkers</t>
  </si>
  <si>
    <t xml:space="preserve">Guide NMIBC treatment selection and surveillance</t>
  </si>
  <si>
    <t xml:space="preserve">Pre-test versus post-test management plan</t>
  </si>
  <si>
    <t xml:space="preserve">Routine care at early-adopter academic and community centres</t>
  </si>
  <si>
    <t xml:space="preserve">10.3390/cancers18020249</t>
  </si>
  <si>
    <t xml:space="preserve">/Users/albertozambudio/Desktop/IA/scientific-review-ai/outputs/ijmi-fulltext-112-20261016/fulltexts_md/LIB-03307_PMC12839055.md</t>
  </si>
  <si>
    <t xml:space="preserve">I 'Prospectivo' = No parece incorrecto: los médicos completaban la encuesta pre-test antes de recibir el resultado CHAI y la post-test después (Methods §2), es decir, recogida prospectiva del plan terapéutico. Proponer 'Sí' (observacional prospectivo pre/post). Resto confirmado: 6 centros EE. UU., 24 jun 2024-18 jul 2025, 105 casos.</t>
  </si>
  <si>
    <t xml:space="preserve">STUDY-LIB-05278-NEW</t>
  </si>
  <si>
    <t xml:space="preserve">LIB-05278</t>
  </si>
  <si>
    <t xml:space="preserve">[Clinical study of artificial intelligence-guided image fusion assisted transperineal prostate biopsy].</t>
  </si>
  <si>
    <t xml:space="preserve">Prospective comparative clinical biopsy study</t>
  </si>
  <si>
    <t xml:space="preserve">AI-guided MRI-ultrasound image-fusion biopsy system</t>
  </si>
  <si>
    <t xml:space="preserve">Target prostate lesions during transperineal biopsy</t>
  </si>
  <si>
    <t xml:space="preserve">Systematic and conventional targeted biopsy</t>
  </si>
  <si>
    <t xml:space="preserve">Clinical transperineal biopsy</t>
  </si>
  <si>
    <t xml:space="preserve">No DOI recorded</t>
  </si>
  <si>
    <t xml:space="preserve">/Users/albertozambudio/Desktop/IA/scientific-review-ai/outputs/ijmi-final-corpus-prisma-20261016/fulltext_retrieval_11_20261016/LIB-05278.pdf</t>
  </si>
  <si>
    <t xml:space="preserve">O (Comparador): en el resumen no existe un brazo de 'conventional targeted biopsy'. La biopsia dirigida ES la guiada por fusión IA; se compara con biopsia sistemática de 12 cilindros en los mismos pacientes (diseño intra-paciente) y con la combinada. Proponer: 'Same-patient 12-core systematic biopsy (and combined biopsy)'. Resto confirmado (220 pacientes, PI-RADS&gt;=3, desde abril 2022). Fuente: solo resumen en inglés PubMed (PMID 38619521; artículo en chino).</t>
  </si>
  <si>
    <t xml:space="preserve">STUDY-LIB-06106-NEW</t>
  </si>
  <si>
    <t xml:space="preserve">LIB-06106</t>
  </si>
  <si>
    <t xml:space="preserve">Harnessing Artificial Intelligence to Code a Decision-Making Aid for the Prostate Cancer Brachytherapy Multidisciplinary Meeting Using Retrieval-Augmented Generation.</t>
  </si>
  <si>
    <t xml:space="preserve">Prospective consecutive real-world concordance evaluation without AI-directed decisions</t>
  </si>
  <si>
    <t xml:space="preserve">United Kingdom / 1</t>
  </si>
  <si>
    <t xml:space="preserve">Retrieval-augmented custom GPT decision aid</t>
  </si>
  <si>
    <t xml:space="preserve">Recommend brachytherapy strategy for MDT discussion</t>
  </si>
  <si>
    <t xml:space="preserve">Actual multidisciplinary-team recommendation</t>
  </si>
  <si>
    <t xml:space="preserve">Used alongside a prostate-brachytherapy multidisciplinary meeting</t>
  </si>
  <si>
    <t xml:space="preserve">10.7759/cureus.103457</t>
  </si>
  <si>
    <t xml:space="preserve">/Users/albertozambudio/Desktop/IA/scientific-review-ai/outputs/ijmi-fulltext-112-20261016/fulltexts_md/LIB-06106_PMC12988595.md</t>
  </si>
  <si>
    <t xml:space="preserve">Métodos/Resultados: 40 pacientes consecutivos de la MDM de braquiterapia (Royal Surrey); el GPT no tomaba decisiones; comparación con la recomendación real del MDT.</t>
  </si>
  <si>
    <t xml:space="preserve">STUDY-LIB-06359-NEW</t>
  </si>
  <si>
    <t xml:space="preserve">LIB-06359</t>
  </si>
  <si>
    <t xml:space="preserve">Validation and three years of clinical experience in using an artificial intelligence algorithm as a second read system for prostate cancer diagnosis-real-world experience.</t>
  </si>
  <si>
    <t xml:space="preserve">Independent validation followed by retrospective analysis of three years of routine deployment</t>
  </si>
  <si>
    <t xml:space="preserve">Puerto Rico / 1 laboratory</t>
  </si>
  <si>
    <t xml:space="preserve">CorePlus diagnosis and routine pathology workflow</t>
  </si>
  <si>
    <t xml:space="preserve">CLIA-certified routine pathology laboratory</t>
  </si>
  <si>
    <t xml:space="preserve">10.1016/j.jpi.2024.100378</t>
  </si>
  <si>
    <t xml:space="preserve">/Users/albertozambudio/Desktop/IA/scientific-review-ai/outputs/ijmi-fulltext-112-20261016/fulltexts_md/LIB-06359_PMC11166872.md</t>
  </si>
  <si>
    <t xml:space="preserve">Métodos/Resultados: validación en 101 casos (1279 láminas) + despliegue 2020-2023 en 9267 casos (122.441 láminas); 101 + 9267 = 9368 = K; laboratorio CLIA CorePlus (Puerto Rico).</t>
  </si>
  <si>
    <t xml:space="preserve">Auditoría de resultados — 89 estimaciones</t>
  </si>
  <si>
    <t xml:space="preserve">Confirme cada estimación contra la fuente. Registre página, tabla o figura cuando corrija.</t>
  </si>
  <si>
    <t xml:space="preserve">Dominio</t>
  </si>
  <si>
    <t xml:space="preserve">Resultado</t>
  </si>
  <si>
    <t xml:space="preserve">Estimación extraída</t>
  </si>
  <si>
    <t xml:space="preserve">Momento</t>
  </si>
  <si>
    <t xml:space="preserve">Población analizada</t>
  </si>
  <si>
    <t xml:space="preserve">Notas de extracción</t>
  </si>
  <si>
    <t xml:space="preserve">Corrección / ubicación en fuente</t>
  </si>
  <si>
    <t xml:space="preserve">Patient outcome</t>
  </si>
  <si>
    <t xml:space="preserve">GAD-7 score</t>
  </si>
  <si>
    <t xml:space="preserve">3.2 vs 5.7</t>
  </si>
  <si>
    <t xml:space="preserve">post-intervention</t>
  </si>
  <si>
    <t xml:space="preserve">Resumen: GAD-7 post-comunicación 3.2 [2.7] vs 5.7 [3.1] (media [DE]); P=0.001. Fuente consultada: solo resumen (Crossref, DOI 10.1038/s41746-026-03309-7); texto completo no accesible desde este entorno.</t>
  </si>
  <si>
    <t xml:space="preserve">Adjusted GAD-7 mean difference</t>
  </si>
  <si>
    <t xml:space="preserve">-2.2 (95% CI -3.4 to -1.1); p=0.001</t>
  </si>
  <si>
    <t xml:space="preserve">NO_LOCALIZADO</t>
  </si>
  <si>
    <t xml:space="preserve">La diferencia ajustada -2.2 (IC95% -3.4 a -1.1) no aparece en el resumen; el p=0.001 del resumen corresponde a la comparación de medias brutas. Verificar en Resultados/Tabla del texto completo.</t>
  </si>
  <si>
    <t xml:space="preserve">Workflow</t>
  </si>
  <si>
    <t xml:space="preserve">NASA-TLX workload score</t>
  </si>
  <si>
    <t xml:space="preserve">39.9 vs 56.8</t>
  </si>
  <si>
    <t xml:space="preserve">consultation</t>
  </si>
  <si>
    <t xml:space="preserve">Resumen: NASA-TLX 39.9 [16.9] vs 56.8 [19.5]; P&lt;0.001.</t>
  </si>
  <si>
    <t xml:space="preserve">Adjusted NASA-TLX mean difference</t>
  </si>
  <si>
    <t xml:space="preserve">-10.6 (95% CI -14.3 to -6.9); p&lt;0.001</t>
  </si>
  <si>
    <t xml:space="preserve">Diferencia ajustada NASA-TLX -10.6 (IC95% -14.3 a -6.9) no figura en el resumen. Verificar en texto completo.</t>
  </si>
  <si>
    <t xml:space="preserve">Physician communication time</t>
  </si>
  <si>
    <t xml:space="preserve">11.3 vs 19.9 min; p&lt;0.001</t>
  </si>
  <si>
    <t xml:space="preserve">Resumen: tiempo de comunicación 11.3 [4.5] vs 19.9 [6.1] min; P&lt;0.001.</t>
  </si>
  <si>
    <t xml:space="preserve">PSQ-18 satisfaction score</t>
  </si>
  <si>
    <t xml:space="preserve">57.0 vs 46.8</t>
  </si>
  <si>
    <t xml:space="preserve">PSQ-18 57.0 vs 46.8: el resumen solo dice 'better ... satisfaction', sin cifras. Verificar en texto completo.</t>
  </si>
  <si>
    <t xml:space="preserve">Treatment effect</t>
  </si>
  <si>
    <t xml:space="preserve">Treatment-by-MMAI interaction for biochemical failure</t>
  </si>
  <si>
    <t xml:space="preserve">p=0.30</t>
  </si>
  <si>
    <t xml:space="preserve">long-term</t>
  </si>
  <si>
    <t xml:space="preserve">81 patients</t>
  </si>
  <si>
    <t xml:space="preserve">Not statistically significant; subgroup findings exploratory</t>
  </si>
  <si>
    <t xml:space="preserve">Results §3: 'treatment-by-MMAI interaction was not statistically significant (interaction p= 0.30)'.</t>
  </si>
  <si>
    <t xml:space="preserve">WPRT vs PORT in MMAI high-risk stratum</t>
  </si>
  <si>
    <t xml:space="preserve">aHR 0.35 (95% CI 0.14-0.86); 5-y BF 41% vs 79%</t>
  </si>
  <si>
    <t xml:space="preserve">5 years</t>
  </si>
  <si>
    <t xml:space="preserve">Results §3: MMAI alto riesgo, 5-y BF 41% vs 79%; exploratory-aHR 0.35 [0.14-0.86].</t>
  </si>
  <si>
    <t xml:space="preserve">WPRT vs PORT in low-intermediate stratum</t>
  </si>
  <si>
    <t xml:space="preserve">aHR 0.66 (95% CI 0.29-1.48); 5-y BF 18% vs 33%</t>
  </si>
  <si>
    <t xml:space="preserve">Results §3: MMAI bajo-intermedio, 5-y BF 18% vs 33%; exploratory-aHR 0.66 [0.29-1.48].</t>
  </si>
  <si>
    <t xml:space="preserve">Diagnostic performance</t>
  </si>
  <si>
    <t xml:space="preserve">Prospective validation AUC</t>
  </si>
  <si>
    <t xml:space="preserve">0.969</t>
  </si>
  <si>
    <t xml:space="preserve">Results 'Performance in overall study population': AUC 0.969.</t>
  </si>
  <si>
    <t xml:space="preserve">Sensitivity</t>
  </si>
  <si>
    <t xml:space="preserve">92.28%</t>
  </si>
  <si>
    <t xml:space="preserve">Ibid.: sensibilidad 92.28% (IC95% 88.64-95.04).</t>
  </si>
  <si>
    <t xml:space="preserve">Specificity</t>
  </si>
  <si>
    <t xml:space="preserve">94.05%</t>
  </si>
  <si>
    <t xml:space="preserve">Ibid.: especificidad 94.05% (IC95% 91.46-96.04); 427/454.</t>
  </si>
  <si>
    <t xml:space="preserve">Low-grade UC sensitivity</t>
  </si>
  <si>
    <t xml:space="preserve">89.86%</t>
  </si>
  <si>
    <t xml:space="preserve">Ibid.: LG 89.86% (62/69).</t>
  </si>
  <si>
    <t xml:space="preserve">Carcinoma in situ sensitivity</t>
  </si>
  <si>
    <t xml:space="preserve">83.33%</t>
  </si>
  <si>
    <t xml:space="preserve">Ibid.: CIS 83.33% (10/12).</t>
  </si>
  <si>
    <t xml:space="preserve">Upper-tract UC sensitivity</t>
  </si>
  <si>
    <t xml:space="preserve">97.30%</t>
  </si>
  <si>
    <t xml:space="preserve">Ibid.: UTUC 97.30% (36/37).</t>
  </si>
  <si>
    <t xml:space="preserve">Treatment-by-APIC interaction</t>
  </si>
  <si>
    <t xml:space="preserve">p=0.014</t>
  </si>
  <si>
    <t xml:space="preserve">Results 'Outcomes with enzalutamide by APIC status' y resumen: interacción p=0.014.</t>
  </si>
  <si>
    <t xml:space="preserve">Enzalutamide effect in APIC-negative participants</t>
  </si>
  <si>
    <t xml:space="preserve">HR 0.50 (95% CI 0.35-0.73); 60-month OS 76.5% vs 58.3%</t>
  </si>
  <si>
    <t xml:space="preserve">60 months</t>
  </si>
  <si>
    <t xml:space="preserve">Resumen: APIC-negativo HR 0.50 (0.35-0.73); OS 60 m 76.5% vs 58.3%.</t>
  </si>
  <si>
    <t xml:space="preserve">Enzalutamide effect in APIC-positive participants</t>
  </si>
  <si>
    <t xml:space="preserve">HR 1.04 (95% CI 0.67-1.62); 60-month OS 55.6% vs 58.8%</t>
  </si>
  <si>
    <t xml:space="preserve">Resumen: APIC-positivo HR 1.04 (0.67-1.62); OS 60 m 55.6% vs 58.8%.</t>
  </si>
  <si>
    <t xml:space="preserve">Low-volume APIC-negative subgroup</t>
  </si>
  <si>
    <t xml:space="preserve">HR 0.31 (95% CI 0.16-0.62)</t>
  </si>
  <si>
    <t xml:space="preserve">Resultados/resumen: bajo volumen APIC-negativo (n=159) HR 0.31 (0.16-0.62).</t>
  </si>
  <si>
    <t xml:space="preserve">Low-volume interaction</t>
  </si>
  <si>
    <t xml:space="preserve">p=0.015</t>
  </si>
  <si>
    <t xml:space="preserve">Resultados/resumen: interacción en bajo volumen p=0.015.</t>
  </si>
  <si>
    <t xml:space="preserve">External-validation cancer detection AUC</t>
  </si>
  <si>
    <t xml:space="preserve">0.991</t>
  </si>
  <si>
    <t xml:space="preserve">Resumen: AUC 0.991 (0.979-1.00) en validación externa. Fuente: solo resumen PubMed (PMID 33328045).</t>
  </si>
  <si>
    <t xml:space="preserve">Low- versus high-grade AUC</t>
  </si>
  <si>
    <t xml:space="preserve">0.941</t>
  </si>
  <si>
    <t xml:space="preserve">Resumen: AUC bajo vs alto grado 0.941 (0.905-0.977), validación externa.</t>
  </si>
  <si>
    <t xml:space="preserve">Gleason pattern 5 detection AUC</t>
  </si>
  <si>
    <t xml:space="preserve">0.971</t>
  </si>
  <si>
    <t xml:space="preserve">Resumen: Gleason pattern 5 AUC 0.971 (0.943-0.998).</t>
  </si>
  <si>
    <t xml:space="preserve">AI versus pathologist cancer-percentage correlation</t>
  </si>
  <si>
    <t xml:space="preserve">r=0.882</t>
  </si>
  <si>
    <t xml:space="preserve">Resumen: r=0.882 (IC95% 0.834-0.915); p&lt;0.0001.</t>
  </si>
  <si>
    <t xml:space="preserve">Routine deployment volume</t>
  </si>
  <si>
    <t xml:space="preserve">941 cases; 11,429 slides</t>
  </si>
  <si>
    <t xml:space="preserve">Resumen: 11 429 láminas de 941 casos.</t>
  </si>
  <si>
    <t xml:space="preserve">Actionable deployment alerts</t>
  </si>
  <si>
    <t xml:space="preserve">51/560 alerts prompted additional cuts or stains; two prompted third opinion; one missed cancer detected</t>
  </si>
  <si>
    <t xml:space="preserve">Resumen: 560 alertas de cáncer; 51 (9%) llevaron a cortes/tinciones adicionales, 2 a tercera opinión; primer caso de cáncer omitido detectado por el algoritmo.</t>
  </si>
  <si>
    <t xml:space="preserve">Technical-clinical performance</t>
  </si>
  <si>
    <t xml:space="preserve">Perfusion-region Dice coefficient</t>
  </si>
  <si>
    <t xml:space="preserve">0.81 (range 0.72-0.94)</t>
  </si>
  <si>
    <t xml:space="preserve">Results y Tabla 2: Dice 0.81 (0.72-0.94).</t>
  </si>
  <si>
    <t xml:space="preserve">Operating time</t>
  </si>
  <si>
    <t xml:space="preserve">Mean 100.8 min</t>
  </si>
  <si>
    <t xml:space="preserve">Tabla 2: tiempo operatorio 100.8 ± 11.2 min.</t>
  </si>
  <si>
    <t xml:space="preserve">Warm ischaemia time</t>
  </si>
  <si>
    <t xml:space="preserve">Mean 27.0 min</t>
  </si>
  <si>
    <t xml:space="preserve">Tabla 2: WIT 27.0 ± 5.2 min.</t>
  </si>
  <si>
    <t xml:space="preserve">Estimated blood loss</t>
  </si>
  <si>
    <t xml:space="preserve">Median 110 mL (range 40-400)</t>
  </si>
  <si>
    <t xml:space="preserve">Tabla 2: EBL mediana 110 mL (40-400).</t>
  </si>
  <si>
    <t xml:space="preserve">Postoperative complications</t>
  </si>
  <si>
    <t xml:space="preserve">8/131 (6.1%)</t>
  </si>
  <si>
    <t xml:space="preserve">Results/Tabla 2: 8 (6.1%) complicaciones (5 grado 1, 2 grado 2, 1 grado 3a).</t>
  </si>
  <si>
    <t xml:space="preserve">Tumour recurrence or metastasis</t>
  </si>
  <si>
    <t xml:space="preserve">0/131</t>
  </si>
  <si>
    <t xml:space="preserve">median 21 months</t>
  </si>
  <si>
    <t xml:space="preserve">Results/Tabla 2: 0 recurrencias/metástasis; seguimiento mediano 21 meses (13-33).</t>
  </si>
  <si>
    <t xml:space="preserve">Participant-level sensitivity for clinically significant PCa</t>
  </si>
  <si>
    <t xml:space="preserve">96% (282/294)</t>
  </si>
  <si>
    <t xml:space="preserve">Resumen: 96% (282/294; IC95% 94-98).</t>
  </si>
  <si>
    <t xml:space="preserve">Radiologist participant-level sensitivity</t>
  </si>
  <si>
    <t xml:space="preserve">98%; p=0.23 versus algorithm</t>
  </si>
  <si>
    <t xml:space="preserve">Resumen: radiólogo 98% (287/294); p=.23.</t>
  </si>
  <si>
    <t xml:space="preserve">Lesion-level sensitivity</t>
  </si>
  <si>
    <t xml:space="preserve">55%</t>
  </si>
  <si>
    <t xml:space="preserve">Resumen: sensibilidad a nivel de lesión 55% (569/1029), con ground truth del radiólogo.</t>
  </si>
  <si>
    <t xml:space="preserve">Positive predictive value</t>
  </si>
  <si>
    <t xml:space="preserve">57%</t>
  </si>
  <si>
    <t xml:space="preserve">Resumen: VPP 57% (535/934).</t>
  </si>
  <si>
    <t xml:space="preserve">Segmentation Dice similarity coefficient</t>
  </si>
  <si>
    <t xml:space="preserve">0.29</t>
  </si>
  <si>
    <t xml:space="preserve">Resumen: DSC 0.29.</t>
  </si>
  <si>
    <t xml:space="preserve">Automated protocol evaluation success</t>
  </si>
  <si>
    <t xml:space="preserve">45/52 (87%)</t>
  </si>
  <si>
    <t xml:space="preserve">Resumen: evaluación totalmente automática posible en 87% de los casos (el numerador/denominador 45/52 no figura en el resumen). Fuente: solo resumen PubMed (PMID 38925042).</t>
  </si>
  <si>
    <t xml:space="preserve">Sensitivity for protocol-tailoring decision</t>
  </si>
  <si>
    <t xml:space="preserve">80%</t>
  </si>
  <si>
    <t xml:space="preserve">Resumen: sensibilidad 80%.</t>
  </si>
  <si>
    <t xml:space="preserve">Specificity for protocol-tailoring decision</t>
  </si>
  <si>
    <t xml:space="preserve">100%</t>
  </si>
  <si>
    <t xml:space="preserve">Resumen: especificidad 100%.</t>
  </si>
  <si>
    <t xml:space="preserve">Safety</t>
  </si>
  <si>
    <t xml:space="preserve">False omission of dynamic contrast enhancement</t>
  </si>
  <si>
    <t xml:space="preserve">1/52 (2%)</t>
  </si>
  <si>
    <t xml:space="preserve">Resumen: 'In 2% of patients, the application falsely decided on omitting DCE' (1/52 no figura explícitamente).</t>
  </si>
  <si>
    <t xml:space="preserve">Agreement with reference decision</t>
  </si>
  <si>
    <t xml:space="preserve">kappa=0.88</t>
  </si>
  <si>
    <t xml:space="preserve">Kappa=0.88 no aparece en el resumen. Verificar en texto completo.</t>
  </si>
  <si>
    <t xml:space="preserve">Automated runtime</t>
  </si>
  <si>
    <t xml:space="preserve">27 seconds</t>
  </si>
  <si>
    <t xml:space="preserve">Tiempo de ejecución 27 s no aparece en el resumen. Verificar en texto completo.</t>
  </si>
  <si>
    <t xml:space="preserve">Prospective malignancy AUC</t>
  </si>
  <si>
    <t xml:space="preserve">0.871</t>
  </si>
  <si>
    <t xml:space="preserve">Results: AUC malignidad 0.871 en el test prospectivo.</t>
  </si>
  <si>
    <t xml:space="preserve">External malignancy AUC</t>
  </si>
  <si>
    <t xml:space="preserve">0.853</t>
  </si>
  <si>
    <t xml:space="preserve">Results: AUC malignidad 0.853 en el test externo.</t>
  </si>
  <si>
    <t xml:space="preserve">Prospective aggressiveness AUC</t>
  </si>
  <si>
    <t xml:space="preserve">0.783</t>
  </si>
  <si>
    <t xml:space="preserve">Results: AUC agresividad 0.783 en el test prospectivo.</t>
  </si>
  <si>
    <t xml:space="preserve">External aggressiveness AUC</t>
  </si>
  <si>
    <t xml:space="preserve">0.763</t>
  </si>
  <si>
    <t xml:space="preserve">Results: AUC agresividad 0.763 en el test externo.</t>
  </si>
  <si>
    <t xml:space="preserve">Radiologist performance with AI assistance</t>
  </si>
  <si>
    <t xml:space="preserve">Significantly improved diagnostic accuracy in the prospective reader experiment</t>
  </si>
  <si>
    <t xml:space="preserve">Results: re-evaluación por 7 radiólogos con resultados de la IA (lavado &gt;=2 meses): 'significant improvement in the diagnostic accuracy'; sin diferencias en el tiempo de lectura.</t>
  </si>
  <si>
    <t xml:space="preserve">Disease-specific survival association</t>
  </si>
  <si>
    <t xml:space="preserve">HR 20.61</t>
  </si>
  <si>
    <t xml:space="preserve">Results (supervivencia): test externo, IA-agresivo vs IA-indolente, DSS HR=20.61, p&lt;0.001 (sin IC en el texto).</t>
  </si>
  <si>
    <t xml:space="preserve">Recurrence-free survival association</t>
  </si>
  <si>
    <t xml:space="preserve">HR 9.69</t>
  </si>
  <si>
    <t xml:space="preserve">Ibid.: RFS HR=9.69, p&lt;0.001 (test externo).</t>
  </si>
  <si>
    <t xml:space="preserve">Overall survival association</t>
  </si>
  <si>
    <t xml:space="preserve">HR 13.19</t>
  </si>
  <si>
    <t xml:space="preserve">Ibid.: OS HR=13.19, p&lt;0.001 (test externo).</t>
  </si>
  <si>
    <t xml:space="preserve">91.7%</t>
  </si>
  <si>
    <t xml:space="preserve">Resumen, cohorte 1: PROSTest positivo en 11/12 CaP = 91.7%. Fuente: solo resumen PubMed (PMID 39121520).</t>
  </si>
  <si>
    <t xml:space="preserve">90.6%</t>
  </si>
  <si>
    <t xml:space="preserve">Derivado del resumen, cohorte 1: no-CaP 405 (53 HBP + 352 sin enfermedad) con 38 positivos -&gt; 367/405 = 90.6%.</t>
  </si>
  <si>
    <t xml:space="preserve">Accuracy</t>
  </si>
  <si>
    <t xml:space="preserve">90.7%</t>
  </si>
  <si>
    <t xml:space="preserve">No figura en el resumen. Derivado del resumen (cohorte 1): (11+367)/417 = 90.6%, no 90.7%; verificar en texto completo.</t>
  </si>
  <si>
    <t xml:space="preserve">AUROC</t>
  </si>
  <si>
    <t xml:space="preserve">0.85 vs 0.71 for PSA</t>
  </si>
  <si>
    <t xml:space="preserve">AUROC 0.85 vs 0.71 no figura en el resumen. Verificar en texto completo.</t>
  </si>
  <si>
    <t xml:space="preserve">Follow-up</t>
  </si>
  <si>
    <t xml:space="preserve">Dual-positive cases diagnosed during follow-up</t>
  </si>
  <si>
    <t xml:space="preserve">2/2</t>
  </si>
  <si>
    <t xml:space="preserve">1 year</t>
  </si>
  <si>
    <t xml:space="preserve">Resumen: de los 43 con seguimiento a 1 año, 2/2 PROSTest+ fueron diagnosticados de CaP.</t>
  </si>
  <si>
    <t xml:space="preserve">Follow-up completeness</t>
  </si>
  <si>
    <t xml:space="preserve">43/111 participants with initially discordant/negative work-up</t>
  </si>
  <si>
    <t xml:space="preserve">Potential pathway effect was not fully observed</t>
  </si>
  <si>
    <t xml:space="preserve">Resumen: 43/111 (39%) completaron el seguimiento a 1 año.</t>
  </si>
  <si>
    <t xml:space="preserve">Prediction performance</t>
  </si>
  <si>
    <t xml:space="preserve">PROSTOX validation AUC</t>
  </si>
  <si>
    <t xml:space="preserve">0.762</t>
  </si>
  <si>
    <t xml:space="preserve">Tabla 1 (MIRAGE overall, n=148): AUC 0.762.</t>
  </si>
  <si>
    <t xml:space="preserve">PROSTOX sensitivity</t>
  </si>
  <si>
    <t xml:space="preserve">0.576</t>
  </si>
  <si>
    <t xml:space="preserve">Tabla 1: sensibilidad 0.576.</t>
  </si>
  <si>
    <t xml:space="preserve">PROSTOX specificity</t>
  </si>
  <si>
    <t xml:space="preserve">0.948</t>
  </si>
  <si>
    <t xml:space="preserve">Tabla 1: especificidad 0.948.</t>
  </si>
  <si>
    <t xml:space="preserve">MRI-guided subgroup AUC</t>
  </si>
  <si>
    <t xml:space="preserve">0.83</t>
  </si>
  <si>
    <t xml:space="preserve">Results/Fig. 2A: AUC 0.83 en brazo RM. Nota: es la AUC de la puntuación numérica de PROSTOX; la AUC binaria del brazo RM es 0.762 (Tabla 1).</t>
  </si>
  <si>
    <t xml:space="preserve">CT-guided subgroup AUC</t>
  </si>
  <si>
    <t xml:space="preserve">0.71</t>
  </si>
  <si>
    <t xml:space="preserve">Results/Fig. 2A: AUC 0.71 en brazo TC (puntuación numérica); AUC binaria 0.761 (Tabla 1).</t>
  </si>
  <si>
    <t xml:space="preserve">Acute-toxicity model LOOCV AUC</t>
  </si>
  <si>
    <t xml:space="preserve">0.770</t>
  </si>
  <si>
    <t xml:space="preserve">Tabla 2: modelo agudo (SNPs + clínico + dosimétrico) AUC LOOCV 0.770.</t>
  </si>
  <si>
    <t xml:space="preserve">Chronic-toxicity model LOOCV AUC</t>
  </si>
  <si>
    <t xml:space="preserve">Tabla 2: modelo crónico AUC LOOCV 0.763.</t>
  </si>
  <si>
    <t xml:space="preserve">98.5% (95% CI 91.7-100)</t>
  </si>
  <si>
    <t xml:space="preserve">Valor correcto: 96.9% (IC95% 89.3-99.6) = 63/65 (Tabla 3; Tabla 2; resumen '97%'). El texto §3.1 indica 98.5% (91.7-100), inconsistente con 63/65; se prioriza la Tabla 3 y debe registrarse la discrepancia.</t>
  </si>
  <si>
    <t xml:space="preserve">95.0% (95% CI 83.1-99.4)</t>
  </si>
  <si>
    <t xml:space="preserve">Tabla 3: especificidad 95.00% (83.08-99.39); 38/40.</t>
  </si>
  <si>
    <t xml:space="preserve">0.99 vs 0.61 for PSA</t>
  </si>
  <si>
    <t xml:space="preserve">§3.1/Fig. 2: AUROC 0.99 ± 0.002 vs 0.61 ± 0.06 para PSA; p&lt;0.0001.</t>
  </si>
  <si>
    <t xml:space="preserve">Classification counts</t>
  </si>
  <si>
    <t xml:space="preserve">63/65 cancers positive; 2/40 non-cancer cases positive</t>
  </si>
  <si>
    <t xml:space="preserve">Tabla 2: 63/65 CaP positivos; 2/40 sin CaP positivos.</t>
  </si>
  <si>
    <t xml:space="preserve">Stratification</t>
  </si>
  <si>
    <t xml:space="preserve">GG1 versus GG2-5 direct comparison</t>
  </si>
  <si>
    <t xml:space="preserve">p=0.116</t>
  </si>
  <si>
    <t xml:space="preserve">§3.2.1: comparación directa GG1 vs GG2-5 p=0.116.</t>
  </si>
  <si>
    <t xml:space="preserve">Decision impact</t>
  </si>
  <si>
    <t xml:space="preserve">Primary management change</t>
  </si>
  <si>
    <t xml:space="preserve">70/105 (67%)</t>
  </si>
  <si>
    <t xml:space="preserve">Results §3 y resumen: 70/105 (67%).</t>
  </si>
  <si>
    <t xml:space="preserve">Treatment-modality changes</t>
  </si>
  <si>
    <t xml:space="preserve">7 cases</t>
  </si>
  <si>
    <t xml:space="preserve">Results §3: 7 cambios de modalidad (3 a cistectomía; 4 cistectomía evitada).</t>
  </si>
  <si>
    <t xml:space="preserve">Intravesical-agent change, biomarker present</t>
  </si>
  <si>
    <t xml:space="preserve">40/50 (80%)</t>
  </si>
  <si>
    <t xml:space="preserve">Results §3: 40/50 (80%) biomarcador presente.</t>
  </si>
  <si>
    <t xml:space="preserve">Intravesical-agent change, biomarker absent</t>
  </si>
  <si>
    <t xml:space="preserve">23/48 (48%)</t>
  </si>
  <si>
    <t xml:space="preserve">Results §3: 23/48 (48%) biomarcador ausente.</t>
  </si>
  <si>
    <t xml:space="preserve">Physician-reported biomarker use</t>
  </si>
  <si>
    <t xml:space="preserve">71/105 (68%)</t>
  </si>
  <si>
    <t xml:space="preserve">Results §3: uso de al menos un biomarcador en 68% (n=71).</t>
  </si>
  <si>
    <t xml:space="preserve">Any-PCa detection: systematic versus targeted</t>
  </si>
  <si>
    <t xml:space="preserve">40.45% vs 43.64%; p=0.562</t>
  </si>
  <si>
    <t xml:space="preserve">Resumen: 40.45% vs 43.64%; P=0.562. Fuente: solo resumen en inglés PubMed (PMID 38619521; artículo en chino).</t>
  </si>
  <si>
    <t xml:space="preserve">Any-PCa detection: combined biopsy</t>
  </si>
  <si>
    <t xml:space="preserve">53.64%; higher than either component; p&lt;0.05</t>
  </si>
  <si>
    <t xml:space="preserve">Resumen: combinada 53.64%, mayor que cada método; P&lt;0.05.</t>
  </si>
  <si>
    <t xml:space="preserve">Clinically significant PCa: systematic versus targeted</t>
  </si>
  <si>
    <t xml:space="preserve">28.18% vs 37.27%; p=0.042</t>
  </si>
  <si>
    <t xml:space="preserve">Resumen: CsPCa 28.18% vs 37.27%; P=0.042.</t>
  </si>
  <si>
    <t xml:space="preserve">Clinically significant PCa: combined biopsy</t>
  </si>
  <si>
    <t xml:space="preserve">41.82%; p=0.003 vs systematic and p=0.330 vs targeted</t>
  </si>
  <si>
    <t xml:space="preserve">Resumen: CsPCa combinada 41.82%; P=0.003 vs sistemática, P=0.330 vs dirigida.</t>
  </si>
  <si>
    <t xml:space="preserve">Gleason upgrades</t>
  </si>
  <si>
    <t xml:space="preserve">13 systematic-biopsy and 18 targeted-biopsy upgrades</t>
  </si>
  <si>
    <t xml:space="preserve">Resumen: entre los CaP detectados por ambos métodos, 13 con Gleason superior en la sistemática y 18 en la dirigida (39 concordantes).</t>
  </si>
  <si>
    <t xml:space="preserve">Concordance with MDT treatment strategy</t>
  </si>
  <si>
    <t xml:space="preserve">40/40 (100%)</t>
  </si>
  <si>
    <t xml:space="preserve">Results: concordancia 40/40.</t>
  </si>
  <si>
    <t xml:space="preserve">Deployment consequence</t>
  </si>
  <si>
    <t xml:space="preserve">HTML rule-based calculator generated; no patient decision was made directly and workflow time was not reported</t>
  </si>
  <si>
    <t xml:space="preserve">Métodos/Resultados: calculadora .html generada; el GPT no tomaba decisiones clínicas; no se informa tiempo de workflow.</t>
  </si>
  <si>
    <t xml:space="preserve">Cancer-detection AUC</t>
  </si>
  <si>
    <t xml:space="preserve">0.994</t>
  </si>
  <si>
    <t xml:space="preserve">Results (validación): AUC 0.994 (IC95% 0.988-0.997).</t>
  </si>
  <si>
    <t xml:space="preserve">Cancer-detection sensitivity</t>
  </si>
  <si>
    <t xml:space="preserve">96.6%</t>
  </si>
  <si>
    <t xml:space="preserve">Results/resumen: sensibilidad 96.6% (93.3-98.8). Nota: el propio texto da 221/230 = 96.1%; se mantiene la estimación principal de los autores.</t>
  </si>
  <si>
    <t xml:space="preserve">Cancer-detection specificity</t>
  </si>
  <si>
    <t xml:space="preserve">96.7%</t>
  </si>
  <si>
    <t xml:space="preserve">Results/resumen: especificidad 96.7% (95.6-97.8).</t>
  </si>
  <si>
    <t xml:space="preserve">Grade-classification AUC</t>
  </si>
  <si>
    <t xml:space="preserve">0.901</t>
  </si>
  <si>
    <t xml:space="preserve">Results: AUC graduación GG1 vs GG2+ 0.901 (0.858-0.934).</t>
  </si>
  <si>
    <t xml:space="preserve">Grade-classification sensitivity/specificity</t>
  </si>
  <si>
    <t xml:space="preserve">81.1% / 82.1%</t>
  </si>
  <si>
    <t xml:space="preserve">Resumen: sensibilidad 81.1% / especificidad 82.1%. Nota: Results da 89/111 = 80.2% y 113/146 = 77.4%, y la Discusión los cita como sens/esp; discrepancia interna de los autores.</t>
  </si>
  <si>
    <t xml:space="preserve">9,267 cases; 122,441 slides</t>
  </si>
  <si>
    <t xml:space="preserve">Results (uso rutinario): junio 2020-mayo 2023, 9267 casos (122.441 láminas).</t>
  </si>
  <si>
    <t xml:space="preserve">Diagnosis changes</t>
  </si>
  <si>
    <t xml:space="preserve">128/4,385 initially benign cases</t>
  </si>
  <si>
    <t xml:space="preserve">Results: 128/4385 casos benignos (2.9%) cambiaron de diagnóstico.</t>
  </si>
  <si>
    <t xml:space="preserve">Grading changes and overall AI impact</t>
  </si>
  <si>
    <t xml:space="preserve">24/1,984 GG1 cases; overall AI impact 1.8%</t>
  </si>
  <si>
    <t xml:space="preserve">Results: 24/1984 casos GG1 (1.21%) modificados; AI Impact global 1.8%.</t>
  </si>
  <si>
    <t xml:space="preserve">Informe vinculado CIT-0066 — 4 resultados</t>
  </si>
  <si>
    <t xml:space="preserve">Informe adicional del programa IGNITE. No incrementa el número de estudios; sí aporta resultados nuevos.</t>
  </si>
  <si>
    <t xml:space="preserve">Población</t>
  </si>
  <si>
    <t xml:space="preserve">Corrección / ubicación</t>
  </si>
  <si>
    <t xml:space="preserve">STUDY-IGNITE-AR-RAPN</t>
  </si>
  <si>
    <t xml:space="preserve">CIT-0066</t>
  </si>
  <si>
    <t xml:space="preserve">Computer Vision and Machine-Learning Techniques for Automatic 3D Virtual Images Overlapping During Augmented Reality Guided Robotic Partial Nephrectomy.</t>
  </si>
  <si>
    <t xml:space="preserve">Automated 3D model anchoring time</t>
  </si>
  <si>
    <t xml:space="preserve">Median 11 s (range 6-13)</t>
  </si>
  <si>
    <t xml:space="preserve">intraoperative</t>
  </si>
  <si>
    <t xml:space="preserve">13-patient automatic AR-RAPN cohort</t>
  </si>
  <si>
    <t xml:space="preserve">/Users/albertozambudio/Desktop/IA/scientific-review-ai/outputs/ijmi-final-closeout-20261015/citation_fulltexts/PMC10931272.xml</t>
  </si>
  <si>
    <t xml:space="preserve">El artículo dice 'The average anchoring time was 11 (6–13) s' y Métodos indican mediana (IQR) para variables continuas: el paréntesis es IQR, no rango. Proponer 'Median 11 s (IQR 6-13)'. Fuente PMC10931272 (DOI 10.3390/cancers16051047) se titula 'Automatic 3D Augmented-Reality Robot-Assisted Partial Nephrectomy Using Machine Learning: Our Pioneer Experience' y el software es 'ikidney' (IGNITE es el sistema previo con ICG); no coincide con el título registrado en D. Verificar que la fuente local corresponde al informe CIT-0066.</t>
  </si>
  <si>
    <t xml:space="preserve">Temporary co-registration failure</t>
  </si>
  <si>
    <t xml:space="preserve">Two temporary failures; one case converted to ultrasound guidance</t>
  </si>
  <si>
    <t xml:space="preserve">Results: fallo temporal de co-registro en 1 paciente estático y 1 dinámico; 1 fallo con conversión a guía ecográfica. Fuente PMC10931272 (DOI 10.3390/cancers16051047) se titula 'Automatic 3D Augmented-Reality Robot-Assisted Partial Nephrectomy Using Machine Learning: Our Pioneer Experience' y el software es 'ikidney' (IGNITE es el sistema previo con ICG); no coincide con el título registrado en D. Verificar que la fuente local corresponde al informe CIT-0066.</t>
  </si>
  <si>
    <t xml:space="preserve">Major postoperative complications</t>
  </si>
  <si>
    <t xml:space="preserve">0 with Clavien-Dindo &gt;2</t>
  </si>
  <si>
    <t xml:space="preserve">postoperative</t>
  </si>
  <si>
    <t xml:space="preserve">Results: 'No major intraoperative nor postoperative complications (i.e., Clavien Dindo &gt; 2)'. Fuente PMC10931272 (DOI 10.3390/cancers16051047) se titula 'Automatic 3D Augmented-Reality Robot-Assisted Partial Nephrectomy Using Machine Learning: Our Pioneer Experience' y el software es 'ikidney' (IGNITE es el sistema previo con ICG); no coincide con el título registrado en D. Verificar que la fuente local corresponde al informe CIT-0066.</t>
  </si>
  <si>
    <t xml:space="preserve">Prospective automatic AR-RAPN feasibility cohort</t>
  </si>
  <si>
    <t xml:space="preserve">13 patients</t>
  </si>
  <si>
    <t xml:space="preserve">perioperative</t>
  </si>
  <si>
    <t xml:space="preserve">Additional linked report; not a new study unit</t>
  </si>
  <si>
    <t xml:space="preserve">Results: 13 pacientes, enero 2022-abril 2023. Fuente PMC10931272 (DOI 10.3390/cancers16051047) se titula 'Automatic 3D Augmented-Reality Robot-Assisted Partial Nephrectomy Using Machine Learning: Our Pioneer Experience' y el software es 'ikidney' (IGNITE es el sistema previo con ICG); no coincide con el título registrado en D. Verificar que la fuente local corresponde al informe CIT-0066.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</si>
</sst>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365D"/>
      <name val="Arial"/>
      <family val="0"/>
      <charset val="1"/>
    </font>
    <font>
      <i val="true"/>
      <sz val="10"/>
      <color rgb="FF4F5B66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F1F1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AF7"/>
        <bgColor rgb="FFE2F0D9"/>
      </patternFill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7C9D6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F5B66"/>
      <rgbColor rgb="FF969696"/>
      <rgbColor rgb="FF17365D"/>
      <rgbColor rgb="FF339966"/>
      <rgbColor rgb="FF003300"/>
      <rgbColor rgb="FF375623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udit16StudiesTable" displayName="Audit16StudiesTable" ref="A4:AF20" headerRowCount="1" totalsRowCount="0" totalsRowShown="0">
  <tableColumns count="32">
    <tableColumn id="1" name="Nº"/>
    <tableColumn id="2" name="Study_unit_ID"/>
    <tableColumn id="3" name="Report_ID"/>
    <tableColumn id="4" name="Año"/>
    <tableColumn id="5" name="Título"/>
    <tableColumn id="6" name="Cáncer"/>
    <tableColumn id="7" name="Función clínica"/>
    <tableColumn id="8" name="Diseño"/>
    <tableColumn id="9" name="Prospectivo"/>
    <tableColumn id="10" name="País / centros"/>
    <tableColumn id="11" name="N reclutado"/>
    <tableColumn id="12" name="N analizado"/>
    <tableColumn id="13" name="Sistema de IA"/>
    <tableColumn id="14" name="Tarea"/>
    <tableColumn id="15" name="Comparador"/>
    <tableColumn id="16" name="Contexto de uso"/>
    <tableColumn id="17" name="Modelo bloqueado"/>
    <tableColumn id="18" name="Validación externa"/>
    <tableColumn id="19" name="ECA de uso real de IA"/>
    <tableColumn id="20" name="Workflow observado"/>
    <tableColumn id="21" name="Resultado de paciente"/>
    <tableColumn id="22" name="Información monetaria"/>
    <tableColumn id="23" name="Herramienta RoB"/>
    <tableColumn id="24" name="Juicio RoB final"/>
    <tableColumn id="25" name="Filas de resultados"/>
    <tableColumn id="26" name="DOI"/>
    <tableColumn id="27" name="Fuente local"/>
    <tableColumn id="28" name="Estado de fuente"/>
    <tableColumn id="29" name="Estado de auditoría"/>
    <tableColumn id="30" name="Corrección / notas"/>
    <tableColumn id="31" name="Revisor"/>
    <tableColumn id="32" name="Fecha"/>
  </tableColumns>
</table>
</file>

<file path=xl/tables/table2.xml><?xml version="1.0" encoding="utf-8"?>
<table xmlns="http://schemas.openxmlformats.org/spreadsheetml/2006/main" id="2" name="Audit89OutcomesTable" displayName="Audit89OutcomesTable" ref="A4:O93" headerRowCount="1" totalsRowCount="0" totalsRowShown="0">
  <tableColumns count="15">
    <tableColumn id="1" name="Nº"/>
    <tableColumn id="2" name="Study_unit_ID"/>
    <tableColumn id="3" name="Report_ID"/>
    <tableColumn id="4" name="Título"/>
    <tableColumn id="5" name="Dominio"/>
    <tableColumn id="6" name="Resultado"/>
    <tableColumn id="7" name="Estimación extraída"/>
    <tableColumn id="8" name="Momento"/>
    <tableColumn id="9" name="Población analizada"/>
    <tableColumn id="10" name="Notas de extracción"/>
    <tableColumn id="11" name="Fuente local"/>
    <tableColumn id="12" name="Estado de auditoría"/>
    <tableColumn id="13" name="Corrección / ubicación en fuente"/>
    <tableColumn id="14" name="Revisor"/>
    <tableColumn id="15" name="Fecha"/>
  </tableColumns>
</table>
</file>

<file path=xl/tables/table3.xml><?xml version="1.0" encoding="utf-8"?>
<table xmlns="http://schemas.openxmlformats.org/spreadsheetml/2006/main" id="3" name="AuditCIT0066Table" displayName="AuditCIT0066Table" ref="A4:M8" headerRowCount="1" totalsRowCount="0" totalsRowShown="0">
  <tableColumns count="13">
    <tableColumn id="1" name="Nº"/>
    <tableColumn id="2" name="Study_unit_ID"/>
    <tableColumn id="3" name="Report_ID"/>
    <tableColumn id="4" name="Título"/>
    <tableColumn id="5" name="Resultado"/>
    <tableColumn id="6" name="Estimación extraída"/>
    <tableColumn id="7" name="Momento"/>
    <tableColumn id="8" name="Población"/>
    <tableColumn id="9" name="Fuente local"/>
    <tableColumn id="10" name="Estado de auditoría"/>
    <tableColumn id="11" name="Corrección / ubicación"/>
    <tableColumn id="12" name="Revisor"/>
    <tableColumn id="13" name="Fecha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92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</v>
      </c>
      <c r="B4" s="4" t="s">
        <v>3</v>
      </c>
    </row>
    <row r="5" customFormat="false" ht="15" hidden="false" customHeight="true" outlineLevel="0" collapsed="false">
      <c r="A5" s="3" t="s">
        <v>4</v>
      </c>
      <c r="B5" s="4" t="s">
        <v>5</v>
      </c>
    </row>
    <row r="6" customFormat="false" ht="15" hidden="false" customHeight="true" outlineLevel="0" collapsed="false">
      <c r="A6" s="3" t="s">
        <v>6</v>
      </c>
      <c r="B6" s="4" t="s">
        <v>7</v>
      </c>
    </row>
    <row r="7" customFormat="false" ht="15" hidden="false" customHeight="true" outlineLevel="0" collapsed="false">
      <c r="A7" s="3" t="s">
        <v>8</v>
      </c>
      <c r="B7" s="4" t="s">
        <v>9</v>
      </c>
    </row>
    <row r="8" customFormat="false" ht="15" hidden="false" customHeight="true" outlineLevel="0" collapsed="false">
      <c r="A8" s="3" t="s">
        <v>10</v>
      </c>
      <c r="B8" s="4" t="s">
        <v>11</v>
      </c>
    </row>
    <row r="9" customFormat="false" ht="15" hidden="false" customHeight="true" outlineLevel="0" collapsed="false">
      <c r="A9" s="3" t="s">
        <v>12</v>
      </c>
      <c r="B9" s="4" t="s">
        <v>13</v>
      </c>
    </row>
    <row r="10" customFormat="false" ht="15" hidden="false" customHeight="true" outlineLevel="0" collapsed="false">
      <c r="A10" s="3" t="s">
        <v>14</v>
      </c>
      <c r="B10" s="4" t="s">
        <v>15</v>
      </c>
    </row>
    <row r="11" customFormat="false" ht="15" hidden="false" customHeight="true" outlineLevel="0" collapsed="false">
      <c r="A11" s="3" t="s">
        <v>16</v>
      </c>
      <c r="B11" s="4" t="s">
        <v>17</v>
      </c>
    </row>
    <row r="12" customFormat="false" ht="15" hidden="false" customHeight="true" outlineLevel="0" collapsed="false">
      <c r="A12" s="3" t="s">
        <v>18</v>
      </c>
      <c r="B12" s="4" t="s">
        <v>19</v>
      </c>
    </row>
    <row r="14" customFormat="false" ht="37.5" hidden="false" customHeight="true" outlineLevel="0" collapsed="false">
      <c r="A14" s="5" t="s">
        <v>20</v>
      </c>
      <c r="B14" s="5" t="s">
        <v>21</v>
      </c>
      <c r="C14" s="5" t="s">
        <v>22</v>
      </c>
      <c r="D14" s="5" t="s">
        <v>23</v>
      </c>
    </row>
    <row r="15" customFormat="false" ht="15" hidden="false" customHeight="false" outlineLevel="0" collapsed="false">
      <c r="A15" s="6" t="s">
        <v>24</v>
      </c>
      <c r="B15" s="7" t="n">
        <f aca="false">COUNTIFS(Auditoria_16!AC5:AC20,"CONFIRMADO")</f>
        <v>9</v>
      </c>
      <c r="C15" s="6" t="n">
        <v>16</v>
      </c>
      <c r="D15" s="6" t="s">
        <v>25</v>
      </c>
    </row>
    <row r="16" customFormat="false" ht="15" hidden="false" customHeight="false" outlineLevel="0" collapsed="false">
      <c r="A16" s="6" t="s">
        <v>26</v>
      </c>
      <c r="B16" s="7" t="n">
        <f aca="false">COUNTIFS(Auditoria_16!AC5:AC20,"CORREGIR")</f>
        <v>4</v>
      </c>
      <c r="C16" s="6" t="n">
        <v>0</v>
      </c>
      <c r="D16" s="6" t="s">
        <v>27</v>
      </c>
    </row>
    <row r="17" customFormat="false" ht="15" hidden="false" customHeight="false" outlineLevel="0" collapsed="false">
      <c r="A17" s="6" t="s">
        <v>28</v>
      </c>
      <c r="B17" s="7" t="n">
        <f aca="false">COUNTIFS(Resultados_89!L5:L93,"CONFIRMADO")</f>
        <v>81</v>
      </c>
      <c r="C17" s="6" t="n">
        <v>89</v>
      </c>
      <c r="D17" s="6" t="s">
        <v>29</v>
      </c>
    </row>
    <row r="18" customFormat="false" ht="15" hidden="false" customHeight="false" outlineLevel="0" collapsed="false">
      <c r="A18" s="6" t="s">
        <v>30</v>
      </c>
      <c r="B18" s="7" t="n">
        <f aca="false">COUNTIFS(Resultados_89!L5:L93,"CORREGIR")</f>
        <v>1</v>
      </c>
      <c r="C18" s="6" t="n">
        <v>0</v>
      </c>
      <c r="D18" s="6" t="s">
        <v>27</v>
      </c>
    </row>
    <row r="19" customFormat="false" ht="22.35" hidden="false" customHeight="false" outlineLevel="0" collapsed="false">
      <c r="A19" s="6" t="s">
        <v>31</v>
      </c>
      <c r="B19" s="7" t="n">
        <f aca="false">COUNTIFS(Resultados_89!L5:L93,"DUDA")+COUNTIFS(Resultados_89!L5:L93,"NO_LOCALIZADO")</f>
        <v>7</v>
      </c>
      <c r="C19" s="6" t="n">
        <v>0</v>
      </c>
      <c r="D19" s="6" t="s">
        <v>32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1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54"/>
    <col collapsed="false" customWidth="true" hidden="false" outlineLevel="0" max="6" min="6" style="0" width="18"/>
    <col collapsed="false" customWidth="true" hidden="false" outlineLevel="0" max="7" min="7" style="0" width="25"/>
    <col collapsed="false" customWidth="true" hidden="false" outlineLevel="0" max="8" min="8" style="0" width="48"/>
    <col collapsed="false" customWidth="true" hidden="false" outlineLevel="0" max="9" min="9" style="0" width="11"/>
    <col collapsed="false" customWidth="true" hidden="false" outlineLevel="0" max="10" min="10" style="0" width="22"/>
    <col collapsed="false" customWidth="true" hidden="false" outlineLevel="0" max="12" min="11" style="0" width="12"/>
    <col collapsed="false" customWidth="true" hidden="false" outlineLevel="0" max="13" min="13" style="0" width="34"/>
    <col collapsed="false" customWidth="true" hidden="false" outlineLevel="0" max="14" min="14" style="0" width="36"/>
    <col collapsed="false" customWidth="true" hidden="false" outlineLevel="0" max="15" min="15" style="0" width="38"/>
    <col collapsed="false" customWidth="true" hidden="false" outlineLevel="0" max="16" min="16" style="0" width="42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20" min="19" style="0" width="16"/>
    <col collapsed="false" customWidth="true" hidden="false" outlineLevel="0" max="21" min="21" style="0" width="17"/>
    <col collapsed="false" customWidth="true" hidden="false" outlineLevel="0" max="22" min="22" style="0" width="16"/>
    <col collapsed="false" customWidth="true" hidden="false" outlineLevel="0" max="23" min="23" style="0" width="20"/>
    <col collapsed="false" customWidth="true" hidden="false" outlineLevel="0" max="24" min="24" style="0" width="30"/>
    <col collapsed="false" customWidth="true" hidden="false" outlineLevel="0" max="25" min="25" style="0" width="12"/>
    <col collapsed="false" customWidth="true" hidden="false" outlineLevel="0" max="26" min="26" style="0" width="30"/>
    <col collapsed="false" customWidth="true" hidden="false" outlineLevel="0" max="27" min="27" style="0" width="68"/>
    <col collapsed="false" customWidth="true" hidden="false" outlineLevel="0" max="28" min="28" style="0" width="20"/>
    <col collapsed="false" customWidth="true" hidden="false" outlineLevel="0" max="29" min="29" style="0" width="18"/>
    <col collapsed="false" customWidth="true" hidden="false" outlineLevel="0" max="30" min="30" style="0" width="46"/>
    <col collapsed="false" customWidth="true" hidden="false" outlineLevel="0" max="31" min="31" style="0" width="18"/>
    <col collapsed="false" customWidth="true" hidden="false" outlineLevel="0" max="32" min="32" style="0" width="14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24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 customFormat="false" ht="37.5" hidden="false" customHeight="true" outlineLevel="0" collapsed="false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46</v>
      </c>
      <c r="M4" s="5" t="s">
        <v>47</v>
      </c>
      <c r="N4" s="5" t="s">
        <v>48</v>
      </c>
      <c r="O4" s="5" t="s">
        <v>49</v>
      </c>
      <c r="P4" s="5" t="s">
        <v>50</v>
      </c>
      <c r="Q4" s="5" t="s">
        <v>51</v>
      </c>
      <c r="R4" s="5" t="s">
        <v>52</v>
      </c>
      <c r="S4" s="5" t="s">
        <v>53</v>
      </c>
      <c r="T4" s="5" t="s">
        <v>54</v>
      </c>
      <c r="U4" s="5" t="s">
        <v>55</v>
      </c>
      <c r="V4" s="5" t="s">
        <v>56</v>
      </c>
      <c r="W4" s="5" t="s">
        <v>57</v>
      </c>
      <c r="X4" s="5" t="s">
        <v>58</v>
      </c>
      <c r="Y4" s="5" t="s">
        <v>59</v>
      </c>
      <c r="Z4" s="5" t="s">
        <v>60</v>
      </c>
      <c r="AA4" s="5" t="s">
        <v>61</v>
      </c>
      <c r="AB4" s="5" t="s">
        <v>62</v>
      </c>
      <c r="AC4" s="5" t="s">
        <v>63</v>
      </c>
      <c r="AD4" s="5" t="s">
        <v>64</v>
      </c>
      <c r="AE4" s="5" t="s">
        <v>65</v>
      </c>
      <c r="AF4" s="5" t="s">
        <v>66</v>
      </c>
    </row>
    <row r="5" customFormat="false" ht="21" hidden="false" customHeight="true" outlineLevel="0" collapsed="false">
      <c r="A5" s="8" t="n">
        <v>1</v>
      </c>
      <c r="B5" s="6" t="s">
        <v>67</v>
      </c>
      <c r="C5" s="6" t="s">
        <v>68</v>
      </c>
      <c r="D5" s="8" t="n">
        <v>2026</v>
      </c>
      <c r="E5" s="6" t="s">
        <v>69</v>
      </c>
      <c r="F5" s="6" t="s">
        <v>70</v>
      </c>
      <c r="G5" s="6" t="s">
        <v>71</v>
      </c>
      <c r="H5" s="6" t="s">
        <v>72</v>
      </c>
      <c r="I5" s="8" t="s">
        <v>73</v>
      </c>
      <c r="J5" s="6" t="s">
        <v>74</v>
      </c>
      <c r="K5" s="6" t="n">
        <v>268</v>
      </c>
      <c r="L5" s="6" t="n">
        <v>268</v>
      </c>
      <c r="M5" s="6" t="s">
        <v>75</v>
      </c>
      <c r="N5" s="6" t="s">
        <v>76</v>
      </c>
      <c r="O5" s="6" t="s">
        <v>77</v>
      </c>
      <c r="P5" s="6" t="s">
        <v>78</v>
      </c>
      <c r="Q5" s="8" t="s">
        <v>73</v>
      </c>
      <c r="R5" s="8" t="s">
        <v>79</v>
      </c>
      <c r="S5" s="8" t="s">
        <v>73</v>
      </c>
      <c r="T5" s="8" t="s">
        <v>73</v>
      </c>
      <c r="U5" s="8" t="s">
        <v>73</v>
      </c>
      <c r="V5" s="8" t="s">
        <v>79</v>
      </c>
      <c r="W5" s="6" t="s">
        <v>80</v>
      </c>
      <c r="X5" s="6" t="s">
        <v>81</v>
      </c>
      <c r="Y5" s="8" t="n">
        <v>6</v>
      </c>
      <c r="Z5" s="6" t="s">
        <v>82</v>
      </c>
      <c r="AA5" s="6" t="s">
        <v>83</v>
      </c>
      <c r="AB5" s="6" t="s">
        <v>84</v>
      </c>
      <c r="AC5" s="9" t="s">
        <v>85</v>
      </c>
      <c r="AD5" s="7" t="s">
        <v>86</v>
      </c>
      <c r="AE5" s="7" t="s">
        <v>87</v>
      </c>
      <c r="AF5" s="7" t="s">
        <v>88</v>
      </c>
    </row>
    <row r="6" customFormat="false" ht="21" hidden="false" customHeight="true" outlineLevel="0" collapsed="false">
      <c r="A6" s="8" t="n">
        <v>2</v>
      </c>
      <c r="B6" s="6" t="s">
        <v>89</v>
      </c>
      <c r="C6" s="6" t="s">
        <v>90</v>
      </c>
      <c r="D6" s="8" t="n">
        <v>2026</v>
      </c>
      <c r="E6" s="6" t="s">
        <v>91</v>
      </c>
      <c r="F6" s="6" t="s">
        <v>70</v>
      </c>
      <c r="G6" s="6" t="s">
        <v>92</v>
      </c>
      <c r="H6" s="6" t="s">
        <v>93</v>
      </c>
      <c r="I6" s="8" t="s">
        <v>79</v>
      </c>
      <c r="J6" s="6" t="s">
        <v>94</v>
      </c>
      <c r="K6" s="6" t="n">
        <v>81</v>
      </c>
      <c r="L6" s="6" t="n">
        <v>81</v>
      </c>
      <c r="M6" s="6" t="s">
        <v>95</v>
      </c>
      <c r="N6" s="6" t="s">
        <v>96</v>
      </c>
      <c r="O6" s="6" t="s">
        <v>97</v>
      </c>
      <c r="P6" s="6" t="s">
        <v>98</v>
      </c>
      <c r="Q6" s="8" t="s">
        <v>73</v>
      </c>
      <c r="R6" s="8" t="s">
        <v>79</v>
      </c>
      <c r="S6" s="8" t="s">
        <v>79</v>
      </c>
      <c r="T6" s="8" t="s">
        <v>79</v>
      </c>
      <c r="U6" s="8" t="s">
        <v>73</v>
      </c>
      <c r="V6" s="8" t="s">
        <v>79</v>
      </c>
      <c r="W6" s="6" t="s">
        <v>99</v>
      </c>
      <c r="X6" s="6" t="s">
        <v>100</v>
      </c>
      <c r="Y6" s="8" t="n">
        <v>3</v>
      </c>
      <c r="Z6" s="6" t="s">
        <v>101</v>
      </c>
      <c r="AA6" s="6" t="s">
        <v>102</v>
      </c>
      <c r="AB6" s="6" t="s">
        <v>84</v>
      </c>
      <c r="AC6" s="9" t="s">
        <v>103</v>
      </c>
      <c r="AD6" s="7" t="s">
        <v>104</v>
      </c>
      <c r="AE6" s="7" t="s">
        <v>87</v>
      </c>
      <c r="AF6" s="7" t="s">
        <v>88</v>
      </c>
    </row>
    <row r="7" customFormat="false" ht="21" hidden="false" customHeight="true" outlineLevel="0" collapsed="false">
      <c r="A7" s="8" t="n">
        <v>3</v>
      </c>
      <c r="B7" s="6" t="s">
        <v>105</v>
      </c>
      <c r="C7" s="6" t="s">
        <v>106</v>
      </c>
      <c r="D7" s="8" t="n">
        <v>2025</v>
      </c>
      <c r="E7" s="6" t="s">
        <v>107</v>
      </c>
      <c r="F7" s="6" t="s">
        <v>108</v>
      </c>
      <c r="G7" s="6" t="s">
        <v>109</v>
      </c>
      <c r="H7" s="6" t="s">
        <v>110</v>
      </c>
      <c r="I7" s="8" t="s">
        <v>73</v>
      </c>
      <c r="J7" s="6" t="s">
        <v>111</v>
      </c>
      <c r="K7" s="6" t="n">
        <v>752</v>
      </c>
      <c r="L7" s="6" t="n">
        <v>752</v>
      </c>
      <c r="M7" s="6" t="s">
        <v>112</v>
      </c>
      <c r="N7" s="6" t="s">
        <v>113</v>
      </c>
      <c r="O7" s="6" t="s">
        <v>114</v>
      </c>
      <c r="P7" s="6" t="s">
        <v>115</v>
      </c>
      <c r="Q7" s="8" t="s">
        <v>73</v>
      </c>
      <c r="R7" s="8" t="s">
        <v>73</v>
      </c>
      <c r="S7" s="8" t="s">
        <v>79</v>
      </c>
      <c r="T7" s="8" t="s">
        <v>79</v>
      </c>
      <c r="U7" s="8" t="s">
        <v>79</v>
      </c>
      <c r="V7" s="8" t="s">
        <v>79</v>
      </c>
      <c r="W7" s="6" t="s">
        <v>116</v>
      </c>
      <c r="X7" s="6" t="s">
        <v>117</v>
      </c>
      <c r="Y7" s="8" t="n">
        <v>6</v>
      </c>
      <c r="Z7" s="6" t="s">
        <v>118</v>
      </c>
      <c r="AA7" s="6" t="s">
        <v>119</v>
      </c>
      <c r="AB7" s="6" t="s">
        <v>84</v>
      </c>
      <c r="AC7" s="9" t="s">
        <v>120</v>
      </c>
      <c r="AD7" s="7" t="s">
        <v>121</v>
      </c>
      <c r="AE7" s="7" t="s">
        <v>87</v>
      </c>
      <c r="AF7" s="7" t="s">
        <v>88</v>
      </c>
    </row>
    <row r="8" customFormat="false" ht="21" hidden="false" customHeight="true" outlineLevel="0" collapsed="false">
      <c r="A8" s="8" t="n">
        <v>4</v>
      </c>
      <c r="B8" s="6" t="s">
        <v>122</v>
      </c>
      <c r="C8" s="6" t="s">
        <v>123</v>
      </c>
      <c r="D8" s="8" t="n">
        <v>2026</v>
      </c>
      <c r="E8" s="6" t="s">
        <v>124</v>
      </c>
      <c r="F8" s="6" t="s">
        <v>70</v>
      </c>
      <c r="G8" s="6" t="s">
        <v>92</v>
      </c>
      <c r="H8" s="6" t="s">
        <v>125</v>
      </c>
      <c r="I8" s="8" t="s">
        <v>79</v>
      </c>
      <c r="J8" s="6" t="s">
        <v>126</v>
      </c>
      <c r="K8" s="6" t="n">
        <v>1125</v>
      </c>
      <c r="L8" s="6" t="n">
        <v>492</v>
      </c>
      <c r="M8" s="6" t="s">
        <v>127</v>
      </c>
      <c r="N8" s="6" t="s">
        <v>128</v>
      </c>
      <c r="O8" s="6" t="s">
        <v>129</v>
      </c>
      <c r="P8" s="6" t="s">
        <v>130</v>
      </c>
      <c r="Q8" s="8" t="s">
        <v>73</v>
      </c>
      <c r="R8" s="8" t="s">
        <v>73</v>
      </c>
      <c r="S8" s="8" t="s">
        <v>79</v>
      </c>
      <c r="T8" s="8" t="s">
        <v>79</v>
      </c>
      <c r="U8" s="8" t="s">
        <v>73</v>
      </c>
      <c r="V8" s="8" t="s">
        <v>79</v>
      </c>
      <c r="W8" s="6" t="s">
        <v>99</v>
      </c>
      <c r="X8" s="6" t="s">
        <v>100</v>
      </c>
      <c r="Y8" s="8" t="n">
        <v>5</v>
      </c>
      <c r="Z8" s="6" t="s">
        <v>131</v>
      </c>
      <c r="AA8" s="6" t="s">
        <v>132</v>
      </c>
      <c r="AB8" s="6" t="s">
        <v>84</v>
      </c>
      <c r="AC8" s="9" t="s">
        <v>103</v>
      </c>
      <c r="AD8" s="7" t="s">
        <v>133</v>
      </c>
      <c r="AE8" s="7" t="s">
        <v>87</v>
      </c>
      <c r="AF8" s="7" t="s">
        <v>88</v>
      </c>
    </row>
    <row r="9" customFormat="false" ht="21" hidden="false" customHeight="true" outlineLevel="0" collapsed="false">
      <c r="A9" s="8" t="n">
        <v>5</v>
      </c>
      <c r="B9" s="6" t="s">
        <v>134</v>
      </c>
      <c r="C9" s="6" t="s">
        <v>135</v>
      </c>
      <c r="D9" s="8" t="n">
        <v>2020</v>
      </c>
      <c r="E9" s="6" t="s">
        <v>136</v>
      </c>
      <c r="F9" s="6" t="s">
        <v>70</v>
      </c>
      <c r="G9" s="6" t="s">
        <v>137</v>
      </c>
      <c r="H9" s="6" t="s">
        <v>138</v>
      </c>
      <c r="I9" s="8" t="s">
        <v>79</v>
      </c>
      <c r="J9" s="6" t="s">
        <v>139</v>
      </c>
      <c r="K9" s="6" t="n">
        <v>1041</v>
      </c>
      <c r="L9" s="6" t="n">
        <v>1041</v>
      </c>
      <c r="M9" s="6" t="s">
        <v>140</v>
      </c>
      <c r="N9" s="6" t="s">
        <v>141</v>
      </c>
      <c r="O9" s="6" t="s">
        <v>142</v>
      </c>
      <c r="P9" s="6" t="s">
        <v>143</v>
      </c>
      <c r="Q9" s="8" t="s">
        <v>73</v>
      </c>
      <c r="R9" s="8" t="s">
        <v>73</v>
      </c>
      <c r="S9" s="8" t="s">
        <v>79</v>
      </c>
      <c r="T9" s="8" t="s">
        <v>73</v>
      </c>
      <c r="U9" s="8" t="s">
        <v>79</v>
      </c>
      <c r="V9" s="8" t="s">
        <v>79</v>
      </c>
      <c r="W9" s="6" t="s">
        <v>144</v>
      </c>
      <c r="X9" s="6" t="s">
        <v>145</v>
      </c>
      <c r="Y9" s="8" t="n">
        <v>6</v>
      </c>
      <c r="Z9" s="6" t="s">
        <v>146</v>
      </c>
      <c r="AA9" s="6" t="s">
        <v>147</v>
      </c>
      <c r="AB9" s="6" t="s">
        <v>84</v>
      </c>
      <c r="AC9" s="9" t="s">
        <v>85</v>
      </c>
      <c r="AD9" s="7" t="s">
        <v>148</v>
      </c>
      <c r="AE9" s="7" t="s">
        <v>87</v>
      </c>
      <c r="AF9" s="7" t="s">
        <v>88</v>
      </c>
    </row>
    <row r="10" customFormat="false" ht="21" hidden="false" customHeight="true" outlineLevel="0" collapsed="false">
      <c r="A10" s="8" t="n">
        <v>6</v>
      </c>
      <c r="B10" s="6" t="s">
        <v>149</v>
      </c>
      <c r="C10" s="6" t="s">
        <v>150</v>
      </c>
      <c r="D10" s="8" t="n">
        <v>2022</v>
      </c>
      <c r="E10" s="6" t="s">
        <v>151</v>
      </c>
      <c r="F10" s="6" t="s">
        <v>152</v>
      </c>
      <c r="G10" s="6" t="s">
        <v>153</v>
      </c>
      <c r="H10" s="6" t="s">
        <v>154</v>
      </c>
      <c r="I10" s="8" t="s">
        <v>73</v>
      </c>
      <c r="J10" s="6" t="s">
        <v>74</v>
      </c>
      <c r="K10" s="6" t="n">
        <v>131</v>
      </c>
      <c r="L10" s="6" t="n">
        <v>131</v>
      </c>
      <c r="M10" s="6" t="s">
        <v>155</v>
      </c>
      <c r="N10" s="6" t="s">
        <v>156</v>
      </c>
      <c r="O10" s="6" t="s">
        <v>157</v>
      </c>
      <c r="P10" s="6" t="s">
        <v>158</v>
      </c>
      <c r="Q10" s="8" t="s">
        <v>73</v>
      </c>
      <c r="R10" s="8" t="s">
        <v>79</v>
      </c>
      <c r="S10" s="8" t="s">
        <v>79</v>
      </c>
      <c r="T10" s="8" t="s">
        <v>73</v>
      </c>
      <c r="U10" s="8" t="s">
        <v>73</v>
      </c>
      <c r="V10" s="8" t="s">
        <v>79</v>
      </c>
      <c r="W10" s="6" t="s">
        <v>159</v>
      </c>
      <c r="X10" s="6" t="s">
        <v>160</v>
      </c>
      <c r="Y10" s="8" t="n">
        <v>6</v>
      </c>
      <c r="Z10" s="6" t="s">
        <v>161</v>
      </c>
      <c r="AA10" s="6" t="s">
        <v>162</v>
      </c>
      <c r="AB10" s="6" t="s">
        <v>84</v>
      </c>
      <c r="AC10" s="9" t="s">
        <v>103</v>
      </c>
      <c r="AD10" s="7" t="s">
        <v>163</v>
      </c>
      <c r="AE10" s="7" t="s">
        <v>87</v>
      </c>
      <c r="AF10" s="7" t="s">
        <v>88</v>
      </c>
    </row>
    <row r="11" customFormat="false" ht="21" hidden="false" customHeight="true" outlineLevel="0" collapsed="false">
      <c r="A11" s="8" t="n">
        <v>7</v>
      </c>
      <c r="B11" s="6" t="s">
        <v>164</v>
      </c>
      <c r="C11" s="6" t="s">
        <v>165</v>
      </c>
      <c r="D11" s="8" t="n">
        <v>2024</v>
      </c>
      <c r="E11" s="6" t="s">
        <v>166</v>
      </c>
      <c r="F11" s="6" t="s">
        <v>70</v>
      </c>
      <c r="G11" s="6" t="s">
        <v>109</v>
      </c>
      <c r="H11" s="6" t="s">
        <v>167</v>
      </c>
      <c r="I11" s="8" t="s">
        <v>73</v>
      </c>
      <c r="J11" s="6" t="s">
        <v>168</v>
      </c>
      <c r="K11" s="6" t="n">
        <v>658</v>
      </c>
      <c r="L11" s="6" t="n">
        <v>658</v>
      </c>
      <c r="M11" s="6" t="s">
        <v>169</v>
      </c>
      <c r="N11" s="6" t="s">
        <v>170</v>
      </c>
      <c r="O11" s="6" t="s">
        <v>171</v>
      </c>
      <c r="P11" s="6" t="s">
        <v>172</v>
      </c>
      <c r="Q11" s="8" t="s">
        <v>73</v>
      </c>
      <c r="R11" s="8" t="s">
        <v>73</v>
      </c>
      <c r="S11" s="8" t="s">
        <v>79</v>
      </c>
      <c r="T11" s="8" t="s">
        <v>79</v>
      </c>
      <c r="U11" s="8" t="s">
        <v>79</v>
      </c>
      <c r="V11" s="8" t="s">
        <v>79</v>
      </c>
      <c r="W11" s="6" t="s">
        <v>116</v>
      </c>
      <c r="X11" s="6" t="s">
        <v>117</v>
      </c>
      <c r="Y11" s="8" t="n">
        <v>5</v>
      </c>
      <c r="Z11" s="6" t="s">
        <v>173</v>
      </c>
      <c r="AA11" s="6" t="s">
        <v>174</v>
      </c>
      <c r="AB11" s="6" t="s">
        <v>84</v>
      </c>
      <c r="AC11" s="9" t="s">
        <v>103</v>
      </c>
      <c r="AD11" s="7" t="s">
        <v>175</v>
      </c>
      <c r="AE11" s="7" t="s">
        <v>87</v>
      </c>
      <c r="AF11" s="7" t="s">
        <v>88</v>
      </c>
    </row>
    <row r="12" customFormat="false" ht="21" hidden="false" customHeight="true" outlineLevel="0" collapsed="false">
      <c r="A12" s="8" t="n">
        <v>8</v>
      </c>
      <c r="B12" s="6" t="s">
        <v>176</v>
      </c>
      <c r="C12" s="6" t="s">
        <v>177</v>
      </c>
      <c r="D12" s="8" t="n">
        <v>2024</v>
      </c>
      <c r="E12" s="6" t="s">
        <v>178</v>
      </c>
      <c r="F12" s="6" t="s">
        <v>70</v>
      </c>
      <c r="G12" s="6" t="s">
        <v>109</v>
      </c>
      <c r="H12" s="6" t="s">
        <v>179</v>
      </c>
      <c r="I12" s="8" t="s">
        <v>73</v>
      </c>
      <c r="J12" s="6" t="s">
        <v>180</v>
      </c>
      <c r="K12" s="6" t="n">
        <v>52</v>
      </c>
      <c r="L12" s="6" t="n">
        <v>52</v>
      </c>
      <c r="M12" s="6" t="s">
        <v>181</v>
      </c>
      <c r="N12" s="6" t="s">
        <v>182</v>
      </c>
      <c r="O12" s="6" t="s">
        <v>183</v>
      </c>
      <c r="P12" s="6" t="s">
        <v>184</v>
      </c>
      <c r="Q12" s="8" t="s">
        <v>73</v>
      </c>
      <c r="R12" s="8" t="s">
        <v>73</v>
      </c>
      <c r="S12" s="8" t="s">
        <v>79</v>
      </c>
      <c r="T12" s="8" t="s">
        <v>73</v>
      </c>
      <c r="U12" s="8" t="s">
        <v>79</v>
      </c>
      <c r="V12" s="8" t="s">
        <v>79</v>
      </c>
      <c r="W12" s="6" t="s">
        <v>116</v>
      </c>
      <c r="X12" s="6" t="s">
        <v>185</v>
      </c>
      <c r="Y12" s="8" t="n">
        <v>6</v>
      </c>
      <c r="Z12" s="6" t="s">
        <v>186</v>
      </c>
      <c r="AA12" s="6" t="s">
        <v>187</v>
      </c>
      <c r="AB12" s="6" t="s">
        <v>84</v>
      </c>
      <c r="AC12" s="9" t="s">
        <v>85</v>
      </c>
      <c r="AD12" s="7" t="s">
        <v>188</v>
      </c>
      <c r="AE12" s="7" t="s">
        <v>87</v>
      </c>
      <c r="AF12" s="7" t="s">
        <v>88</v>
      </c>
    </row>
    <row r="13" customFormat="false" ht="21" hidden="false" customHeight="true" outlineLevel="0" collapsed="false">
      <c r="A13" s="8" t="n">
        <v>9</v>
      </c>
      <c r="B13" s="6" t="s">
        <v>189</v>
      </c>
      <c r="C13" s="6" t="s">
        <v>190</v>
      </c>
      <c r="D13" s="8" t="n">
        <v>2025</v>
      </c>
      <c r="E13" s="6" t="s">
        <v>191</v>
      </c>
      <c r="F13" s="6" t="s">
        <v>152</v>
      </c>
      <c r="G13" s="6" t="s">
        <v>109</v>
      </c>
      <c r="H13" s="6" t="s">
        <v>192</v>
      </c>
      <c r="I13" s="8" t="s">
        <v>73</v>
      </c>
      <c r="J13" s="6" t="s">
        <v>193</v>
      </c>
      <c r="K13" s="6" t="n">
        <v>4557</v>
      </c>
      <c r="L13" s="6" t="n">
        <v>4557</v>
      </c>
      <c r="M13" s="6" t="s">
        <v>194</v>
      </c>
      <c r="N13" s="6" t="s">
        <v>195</v>
      </c>
      <c r="O13" s="6" t="s">
        <v>196</v>
      </c>
      <c r="P13" s="6" t="s">
        <v>197</v>
      </c>
      <c r="Q13" s="8" t="s">
        <v>73</v>
      </c>
      <c r="R13" s="8" t="s">
        <v>73</v>
      </c>
      <c r="S13" s="8" t="s">
        <v>79</v>
      </c>
      <c r="T13" s="8" t="s">
        <v>73</v>
      </c>
      <c r="U13" s="8" t="s">
        <v>73</v>
      </c>
      <c r="V13" s="8" t="s">
        <v>79</v>
      </c>
      <c r="W13" s="6" t="s">
        <v>99</v>
      </c>
      <c r="X13" s="6" t="s">
        <v>198</v>
      </c>
      <c r="Y13" s="8" t="n">
        <v>8</v>
      </c>
      <c r="Z13" s="6" t="s">
        <v>199</v>
      </c>
      <c r="AA13" s="6" t="s">
        <v>200</v>
      </c>
      <c r="AB13" s="6" t="s">
        <v>84</v>
      </c>
      <c r="AC13" s="9" t="s">
        <v>103</v>
      </c>
      <c r="AD13" s="7" t="s">
        <v>201</v>
      </c>
      <c r="AE13" s="7" t="s">
        <v>87</v>
      </c>
      <c r="AF13" s="7" t="s">
        <v>88</v>
      </c>
    </row>
    <row r="14" customFormat="false" ht="21" hidden="false" customHeight="true" outlineLevel="0" collapsed="false">
      <c r="A14" s="8" t="n">
        <v>10</v>
      </c>
      <c r="B14" s="6" t="s">
        <v>202</v>
      </c>
      <c r="C14" s="6" t="s">
        <v>203</v>
      </c>
      <c r="D14" s="8" t="n">
        <v>2024</v>
      </c>
      <c r="E14" s="6" t="s">
        <v>204</v>
      </c>
      <c r="F14" s="6" t="s">
        <v>70</v>
      </c>
      <c r="G14" s="6" t="s">
        <v>109</v>
      </c>
      <c r="H14" s="6" t="s">
        <v>205</v>
      </c>
      <c r="I14" s="8" t="s">
        <v>73</v>
      </c>
      <c r="J14" s="6" t="s">
        <v>206</v>
      </c>
      <c r="K14" s="6" t="n">
        <v>509</v>
      </c>
      <c r="L14" s="6" t="n">
        <v>509</v>
      </c>
      <c r="M14" s="6" t="s">
        <v>207</v>
      </c>
      <c r="N14" s="6" t="s">
        <v>208</v>
      </c>
      <c r="O14" s="6" t="s">
        <v>209</v>
      </c>
      <c r="P14" s="6" t="s">
        <v>210</v>
      </c>
      <c r="Q14" s="8" t="s">
        <v>73</v>
      </c>
      <c r="R14" s="8" t="s">
        <v>73</v>
      </c>
      <c r="S14" s="8" t="s">
        <v>79</v>
      </c>
      <c r="T14" s="8" t="s">
        <v>79</v>
      </c>
      <c r="U14" s="8" t="s">
        <v>79</v>
      </c>
      <c r="V14" s="8" t="s">
        <v>79</v>
      </c>
      <c r="W14" s="6" t="s">
        <v>116</v>
      </c>
      <c r="X14" s="6" t="s">
        <v>117</v>
      </c>
      <c r="Y14" s="8" t="n">
        <v>6</v>
      </c>
      <c r="Z14" s="6" t="s">
        <v>211</v>
      </c>
      <c r="AA14" s="6" t="s">
        <v>212</v>
      </c>
      <c r="AB14" s="6" t="s">
        <v>84</v>
      </c>
      <c r="AC14" s="9" t="s">
        <v>120</v>
      </c>
      <c r="AD14" s="7" t="s">
        <v>213</v>
      </c>
      <c r="AE14" s="7" t="s">
        <v>87</v>
      </c>
      <c r="AF14" s="7" t="s">
        <v>88</v>
      </c>
    </row>
    <row r="15" customFormat="false" ht="21" hidden="false" customHeight="true" outlineLevel="0" collapsed="false">
      <c r="A15" s="8" t="n">
        <v>11</v>
      </c>
      <c r="B15" s="6" t="s">
        <v>214</v>
      </c>
      <c r="C15" s="6" t="s">
        <v>215</v>
      </c>
      <c r="D15" s="8" t="n">
        <v>2025</v>
      </c>
      <c r="E15" s="6" t="s">
        <v>216</v>
      </c>
      <c r="F15" s="6" t="s">
        <v>70</v>
      </c>
      <c r="G15" s="6" t="s">
        <v>92</v>
      </c>
      <c r="H15" s="6" t="s">
        <v>217</v>
      </c>
      <c r="I15" s="8" t="s">
        <v>79</v>
      </c>
      <c r="J15" s="6" t="s">
        <v>218</v>
      </c>
      <c r="K15" s="6" t="n">
        <v>156</v>
      </c>
      <c r="L15" s="6" t="n">
        <v>148</v>
      </c>
      <c r="M15" s="6" t="s">
        <v>219</v>
      </c>
      <c r="N15" s="6" t="s">
        <v>220</v>
      </c>
      <c r="O15" s="6" t="s">
        <v>221</v>
      </c>
      <c r="P15" s="6" t="s">
        <v>222</v>
      </c>
      <c r="Q15" s="8" t="s">
        <v>73</v>
      </c>
      <c r="R15" s="8" t="s">
        <v>73</v>
      </c>
      <c r="S15" s="8" t="s">
        <v>79</v>
      </c>
      <c r="T15" s="8" t="s">
        <v>79</v>
      </c>
      <c r="U15" s="8" t="s">
        <v>73</v>
      </c>
      <c r="V15" s="8" t="s">
        <v>79</v>
      </c>
      <c r="W15" s="6" t="s">
        <v>99</v>
      </c>
      <c r="X15" s="6" t="s">
        <v>198</v>
      </c>
      <c r="Y15" s="8" t="n">
        <v>7</v>
      </c>
      <c r="Z15" s="6" t="s">
        <v>223</v>
      </c>
      <c r="AA15" s="6" t="s">
        <v>224</v>
      </c>
      <c r="AB15" s="6" t="s">
        <v>84</v>
      </c>
      <c r="AC15" s="9" t="s">
        <v>103</v>
      </c>
      <c r="AD15" s="7" t="s">
        <v>225</v>
      </c>
      <c r="AE15" s="7" t="s">
        <v>87</v>
      </c>
      <c r="AF15" s="7" t="s">
        <v>88</v>
      </c>
    </row>
    <row r="16" customFormat="false" ht="21" hidden="false" customHeight="true" outlineLevel="0" collapsed="false">
      <c r="A16" s="8" t="n">
        <v>12</v>
      </c>
      <c r="B16" s="6" t="s">
        <v>226</v>
      </c>
      <c r="C16" s="6" t="s">
        <v>227</v>
      </c>
      <c r="D16" s="8" t="n">
        <v>2026</v>
      </c>
      <c r="E16" s="6" t="s">
        <v>228</v>
      </c>
      <c r="F16" s="6" t="s">
        <v>70</v>
      </c>
      <c r="G16" s="6" t="s">
        <v>109</v>
      </c>
      <c r="H16" s="6" t="s">
        <v>229</v>
      </c>
      <c r="I16" s="8" t="s">
        <v>73</v>
      </c>
      <c r="J16" s="6" t="s">
        <v>230</v>
      </c>
      <c r="K16" s="6" t="n">
        <v>123</v>
      </c>
      <c r="L16" s="6" t="n">
        <v>105</v>
      </c>
      <c r="M16" s="6" t="s">
        <v>207</v>
      </c>
      <c r="N16" s="6" t="s">
        <v>231</v>
      </c>
      <c r="O16" s="6" t="s">
        <v>232</v>
      </c>
      <c r="P16" s="6" t="s">
        <v>233</v>
      </c>
      <c r="Q16" s="8" t="s">
        <v>73</v>
      </c>
      <c r="R16" s="8" t="s">
        <v>73</v>
      </c>
      <c r="S16" s="8" t="s">
        <v>79</v>
      </c>
      <c r="T16" s="8" t="s">
        <v>79</v>
      </c>
      <c r="U16" s="8" t="s">
        <v>79</v>
      </c>
      <c r="V16" s="8" t="s">
        <v>79</v>
      </c>
      <c r="W16" s="6" t="s">
        <v>116</v>
      </c>
      <c r="X16" s="6" t="s">
        <v>234</v>
      </c>
      <c r="Y16" s="8" t="n">
        <v>5</v>
      </c>
      <c r="Z16" s="6" t="s">
        <v>235</v>
      </c>
      <c r="AA16" s="6" t="s">
        <v>236</v>
      </c>
      <c r="AB16" s="6" t="s">
        <v>84</v>
      </c>
      <c r="AC16" s="9" t="s">
        <v>103</v>
      </c>
      <c r="AD16" s="7" t="s">
        <v>237</v>
      </c>
      <c r="AE16" s="7" t="s">
        <v>87</v>
      </c>
      <c r="AF16" s="7" t="s">
        <v>88</v>
      </c>
    </row>
    <row r="17" customFormat="false" ht="21" hidden="false" customHeight="true" outlineLevel="0" collapsed="false">
      <c r="A17" s="8" t="n">
        <v>13</v>
      </c>
      <c r="B17" s="6" t="s">
        <v>238</v>
      </c>
      <c r="C17" s="6" t="s">
        <v>239</v>
      </c>
      <c r="D17" s="8" t="n">
        <v>2026</v>
      </c>
      <c r="E17" s="6" t="s">
        <v>240</v>
      </c>
      <c r="F17" s="6" t="s">
        <v>108</v>
      </c>
      <c r="G17" s="6" t="s">
        <v>92</v>
      </c>
      <c r="H17" s="6" t="s">
        <v>241</v>
      </c>
      <c r="I17" s="8" t="s">
        <v>79</v>
      </c>
      <c r="J17" s="6" t="s">
        <v>242</v>
      </c>
      <c r="K17" s="6" t="n">
        <v>105</v>
      </c>
      <c r="L17" s="6" t="n">
        <v>105</v>
      </c>
      <c r="M17" s="6" t="s">
        <v>243</v>
      </c>
      <c r="N17" s="6" t="s">
        <v>244</v>
      </c>
      <c r="O17" s="6" t="s">
        <v>245</v>
      </c>
      <c r="P17" s="6" t="s">
        <v>246</v>
      </c>
      <c r="Q17" s="8" t="s">
        <v>73</v>
      </c>
      <c r="R17" s="8" t="s">
        <v>79</v>
      </c>
      <c r="S17" s="8" t="s">
        <v>79</v>
      </c>
      <c r="T17" s="8" t="s">
        <v>73</v>
      </c>
      <c r="U17" s="8" t="s">
        <v>79</v>
      </c>
      <c r="V17" s="8" t="s">
        <v>79</v>
      </c>
      <c r="W17" s="6" t="s">
        <v>159</v>
      </c>
      <c r="X17" s="6" t="s">
        <v>160</v>
      </c>
      <c r="Y17" s="8" t="n">
        <v>5</v>
      </c>
      <c r="Z17" s="6" t="s">
        <v>247</v>
      </c>
      <c r="AA17" s="6" t="s">
        <v>248</v>
      </c>
      <c r="AB17" s="6" t="s">
        <v>84</v>
      </c>
      <c r="AC17" s="9" t="s">
        <v>120</v>
      </c>
      <c r="AD17" s="7" t="s">
        <v>249</v>
      </c>
      <c r="AE17" s="7" t="s">
        <v>87</v>
      </c>
      <c r="AF17" s="7" t="s">
        <v>88</v>
      </c>
    </row>
    <row r="18" customFormat="false" ht="21" hidden="false" customHeight="true" outlineLevel="0" collapsed="false">
      <c r="A18" s="8" t="n">
        <v>14</v>
      </c>
      <c r="B18" s="6" t="s">
        <v>250</v>
      </c>
      <c r="C18" s="6" t="s">
        <v>251</v>
      </c>
      <c r="D18" s="8" t="n">
        <v>2023</v>
      </c>
      <c r="E18" s="6" t="s">
        <v>252</v>
      </c>
      <c r="F18" s="6" t="s">
        <v>70</v>
      </c>
      <c r="G18" s="6" t="s">
        <v>109</v>
      </c>
      <c r="H18" s="6" t="s">
        <v>253</v>
      </c>
      <c r="I18" s="8" t="s">
        <v>73</v>
      </c>
      <c r="J18" s="6" t="s">
        <v>74</v>
      </c>
      <c r="K18" s="6" t="n">
        <v>220</v>
      </c>
      <c r="L18" s="6" t="n">
        <v>220</v>
      </c>
      <c r="M18" s="6" t="s">
        <v>254</v>
      </c>
      <c r="N18" s="6" t="s">
        <v>255</v>
      </c>
      <c r="O18" s="6" t="s">
        <v>256</v>
      </c>
      <c r="P18" s="6" t="s">
        <v>257</v>
      </c>
      <c r="Q18" s="8" t="s">
        <v>73</v>
      </c>
      <c r="R18" s="8" t="s">
        <v>79</v>
      </c>
      <c r="S18" s="8" t="s">
        <v>79</v>
      </c>
      <c r="T18" s="8" t="s">
        <v>73</v>
      </c>
      <c r="U18" s="8" t="s">
        <v>79</v>
      </c>
      <c r="V18" s="8" t="s">
        <v>79</v>
      </c>
      <c r="W18" s="6" t="s">
        <v>159</v>
      </c>
      <c r="X18" s="6" t="s">
        <v>160</v>
      </c>
      <c r="Y18" s="8" t="n">
        <v>5</v>
      </c>
      <c r="Z18" s="6" t="s">
        <v>258</v>
      </c>
      <c r="AA18" s="6" t="s">
        <v>259</v>
      </c>
      <c r="AB18" s="6" t="s">
        <v>84</v>
      </c>
      <c r="AC18" s="9" t="s">
        <v>120</v>
      </c>
      <c r="AD18" s="7" t="s">
        <v>260</v>
      </c>
      <c r="AE18" s="7" t="s">
        <v>87</v>
      </c>
      <c r="AF18" s="7" t="s">
        <v>88</v>
      </c>
    </row>
    <row r="19" customFormat="false" ht="21" hidden="false" customHeight="true" outlineLevel="0" collapsed="false">
      <c r="A19" s="8" t="n">
        <v>15</v>
      </c>
      <c r="B19" s="6" t="s">
        <v>261</v>
      </c>
      <c r="C19" s="6" t="s">
        <v>262</v>
      </c>
      <c r="D19" s="8" t="n">
        <v>2026</v>
      </c>
      <c r="E19" s="6" t="s">
        <v>263</v>
      </c>
      <c r="F19" s="6" t="s">
        <v>70</v>
      </c>
      <c r="G19" s="6" t="s">
        <v>92</v>
      </c>
      <c r="H19" s="6" t="s">
        <v>264</v>
      </c>
      <c r="I19" s="8" t="s">
        <v>73</v>
      </c>
      <c r="J19" s="6" t="s">
        <v>265</v>
      </c>
      <c r="K19" s="6" t="n">
        <v>40</v>
      </c>
      <c r="L19" s="6" t="n">
        <v>40</v>
      </c>
      <c r="M19" s="6" t="s">
        <v>266</v>
      </c>
      <c r="N19" s="6" t="s">
        <v>267</v>
      </c>
      <c r="O19" s="6" t="s">
        <v>268</v>
      </c>
      <c r="P19" s="6" t="s">
        <v>269</v>
      </c>
      <c r="Q19" s="8" t="s">
        <v>73</v>
      </c>
      <c r="R19" s="8" t="s">
        <v>79</v>
      </c>
      <c r="S19" s="8" t="s">
        <v>79</v>
      </c>
      <c r="T19" s="8" t="s">
        <v>79</v>
      </c>
      <c r="U19" s="8" t="s">
        <v>79</v>
      </c>
      <c r="V19" s="8" t="s">
        <v>79</v>
      </c>
      <c r="W19" s="6" t="s">
        <v>159</v>
      </c>
      <c r="X19" s="6" t="s">
        <v>160</v>
      </c>
      <c r="Y19" s="8" t="n">
        <v>2</v>
      </c>
      <c r="Z19" s="6" t="s">
        <v>270</v>
      </c>
      <c r="AA19" s="6" t="s">
        <v>271</v>
      </c>
      <c r="AB19" s="6" t="s">
        <v>84</v>
      </c>
      <c r="AC19" s="9" t="s">
        <v>103</v>
      </c>
      <c r="AD19" s="7" t="s">
        <v>272</v>
      </c>
      <c r="AE19" s="7" t="s">
        <v>87</v>
      </c>
      <c r="AF19" s="7" t="s">
        <v>88</v>
      </c>
    </row>
    <row r="20" customFormat="false" ht="21" hidden="false" customHeight="true" outlineLevel="0" collapsed="false">
      <c r="A20" s="8" t="n">
        <v>16</v>
      </c>
      <c r="B20" s="6" t="s">
        <v>273</v>
      </c>
      <c r="C20" s="6" t="s">
        <v>274</v>
      </c>
      <c r="D20" s="8" t="n">
        <v>2024</v>
      </c>
      <c r="E20" s="6" t="s">
        <v>275</v>
      </c>
      <c r="F20" s="6" t="s">
        <v>70</v>
      </c>
      <c r="G20" s="6" t="s">
        <v>137</v>
      </c>
      <c r="H20" s="6" t="s">
        <v>276</v>
      </c>
      <c r="I20" s="8" t="s">
        <v>79</v>
      </c>
      <c r="J20" s="6" t="s">
        <v>277</v>
      </c>
      <c r="K20" s="6" t="n">
        <v>9368</v>
      </c>
      <c r="L20" s="6" t="n">
        <v>9368</v>
      </c>
      <c r="M20" s="6" t="s">
        <v>140</v>
      </c>
      <c r="N20" s="6" t="s">
        <v>141</v>
      </c>
      <c r="O20" s="6" t="s">
        <v>278</v>
      </c>
      <c r="P20" s="6" t="s">
        <v>279</v>
      </c>
      <c r="Q20" s="8" t="s">
        <v>73</v>
      </c>
      <c r="R20" s="8" t="s">
        <v>73</v>
      </c>
      <c r="S20" s="8" t="s">
        <v>79</v>
      </c>
      <c r="T20" s="8" t="s">
        <v>73</v>
      </c>
      <c r="U20" s="8" t="s">
        <v>79</v>
      </c>
      <c r="V20" s="8" t="s">
        <v>79</v>
      </c>
      <c r="W20" s="6" t="s">
        <v>144</v>
      </c>
      <c r="X20" s="6" t="s">
        <v>145</v>
      </c>
      <c r="Y20" s="8" t="n">
        <v>8</v>
      </c>
      <c r="Z20" s="6" t="s">
        <v>280</v>
      </c>
      <c r="AA20" s="6" t="s">
        <v>281</v>
      </c>
      <c r="AB20" s="6" t="s">
        <v>84</v>
      </c>
      <c r="AC20" s="9" t="s">
        <v>103</v>
      </c>
      <c r="AD20" s="7" t="s">
        <v>282</v>
      </c>
      <c r="AE20" s="7" t="s">
        <v>87</v>
      </c>
      <c r="AF20" s="7" t="s">
        <v>88</v>
      </c>
    </row>
  </sheetData>
  <mergeCells count="2">
    <mergeCell ref="A1:AF1"/>
    <mergeCell ref="A2:AF2"/>
  </mergeCells>
  <conditionalFormatting sqref="AC5:AC20">
    <cfRule type="containsText" priority="2" operator="containsText" aboveAverage="0" equalAverage="0" bottom="0" percent="0" rank="0" text="CONFIRMADO" dxfId="10">
      <formula>NOT(ISERROR(SEARCH("CONFIRMADO",AC5)))</formula>
    </cfRule>
    <cfRule type="containsText" priority="3" operator="containsText" aboveAverage="0" equalAverage="0" bottom="0" percent="0" rank="0" text="CORREGIR" dxfId="11">
      <formula>NOT(ISERROR(SEARCH("CORREGIR",AC5)))</formula>
    </cfRule>
    <cfRule type="containsText" priority="4" operator="containsText" aboveAverage="0" equalAverage="0" bottom="0" percent="0" rank="0" text="DUDA" dxfId="12">
      <formula>NOT(ISERROR(SEARCH("DUDA",AC5)))</formula>
    </cfRule>
  </conditionalFormatting>
  <dataValidations count="1">
    <dataValidation allowBlank="false" errorStyle="stop" operator="between" showDropDown="false" showErrorMessage="false" showInputMessage="false" sqref="AC5:AC20" type="list">
      <formula1>"CONFIRMADO,CORREGIR,DUDA"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1"/>
    <col collapsed="false" customWidth="true" hidden="false" outlineLevel="0" max="3" min="3" style="0" width="14"/>
    <col collapsed="false" customWidth="true" hidden="false" outlineLevel="0" max="4" min="4" style="0" width="48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42"/>
    <col collapsed="false" customWidth="true" hidden="false" outlineLevel="0" max="8" min="8" style="0" width="18"/>
    <col collapsed="false" customWidth="true" hidden="false" outlineLevel="0" max="9" min="9" style="0" width="28"/>
    <col collapsed="false" customWidth="true" hidden="false" outlineLevel="0" max="10" min="10" style="0" width="42"/>
    <col collapsed="false" customWidth="true" hidden="false" outlineLevel="0" max="11" min="11" style="0" width="68"/>
    <col collapsed="false" customWidth="true" hidden="false" outlineLevel="0" max="12" min="12" style="0" width="18"/>
    <col collapsed="false" customWidth="true" hidden="false" outlineLevel="0" max="13" min="13" style="0" width="44"/>
    <col collapsed="false" customWidth="true" hidden="false" outlineLevel="0" max="14" min="14" style="0" width="18"/>
    <col collapsed="false" customWidth="true" hidden="false" outlineLevel="0" max="15" min="15" style="0" width="14"/>
  </cols>
  <sheetData>
    <row r="1" customFormat="false" ht="27.75" hidden="false" customHeight="true" outlineLevel="0" collapsed="false">
      <c r="A1" s="1" t="s">
        <v>283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4" hidden="false" customHeight="true" outlineLevel="0" collapsed="false">
      <c r="A2" s="2" t="s">
        <v>284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7.5" hidden="false" customHeight="true" outlineLevel="0" collapsed="false">
      <c r="A4" s="5" t="s">
        <v>35</v>
      </c>
      <c r="B4" s="5" t="s">
        <v>36</v>
      </c>
      <c r="C4" s="5" t="s">
        <v>37</v>
      </c>
      <c r="D4" s="5" t="s">
        <v>39</v>
      </c>
      <c r="E4" s="5" t="s">
        <v>285</v>
      </c>
      <c r="F4" s="5" t="s">
        <v>286</v>
      </c>
      <c r="G4" s="5" t="s">
        <v>287</v>
      </c>
      <c r="H4" s="5" t="s">
        <v>288</v>
      </c>
      <c r="I4" s="5" t="s">
        <v>289</v>
      </c>
      <c r="J4" s="5" t="s">
        <v>290</v>
      </c>
      <c r="K4" s="5" t="s">
        <v>61</v>
      </c>
      <c r="L4" s="5" t="s">
        <v>63</v>
      </c>
      <c r="M4" s="5" t="s">
        <v>291</v>
      </c>
      <c r="N4" s="5" t="s">
        <v>65</v>
      </c>
      <c r="O4" s="5" t="s">
        <v>66</v>
      </c>
    </row>
    <row r="5" customFormat="false" ht="32.25" hidden="false" customHeight="true" outlineLevel="0" collapsed="false">
      <c r="A5" s="8" t="n">
        <v>1</v>
      </c>
      <c r="B5" s="6" t="s">
        <v>67</v>
      </c>
      <c r="C5" s="6" t="s">
        <v>68</v>
      </c>
      <c r="D5" s="6" t="s">
        <v>69</v>
      </c>
      <c r="E5" s="6" t="s">
        <v>292</v>
      </c>
      <c r="F5" s="6" t="s">
        <v>293</v>
      </c>
      <c r="G5" s="6" t="s">
        <v>294</v>
      </c>
      <c r="H5" s="6" t="s">
        <v>295</v>
      </c>
      <c r="I5" s="6"/>
      <c r="J5" s="6"/>
      <c r="K5" s="6" t="s">
        <v>83</v>
      </c>
      <c r="L5" s="9" t="s">
        <v>103</v>
      </c>
      <c r="M5" s="7" t="s">
        <v>296</v>
      </c>
      <c r="N5" s="7" t="s">
        <v>87</v>
      </c>
      <c r="O5" s="7" t="s">
        <v>88</v>
      </c>
    </row>
    <row r="6" customFormat="false" ht="32.25" hidden="false" customHeight="true" outlineLevel="0" collapsed="false">
      <c r="A6" s="8" t="n">
        <v>2</v>
      </c>
      <c r="B6" s="6" t="s">
        <v>67</v>
      </c>
      <c r="C6" s="6" t="s">
        <v>68</v>
      </c>
      <c r="D6" s="6" t="s">
        <v>69</v>
      </c>
      <c r="E6" s="6" t="s">
        <v>292</v>
      </c>
      <c r="F6" s="6" t="s">
        <v>297</v>
      </c>
      <c r="G6" s="6" t="s">
        <v>298</v>
      </c>
      <c r="H6" s="6" t="s">
        <v>295</v>
      </c>
      <c r="I6" s="6"/>
      <c r="J6" s="6"/>
      <c r="K6" s="6" t="s">
        <v>83</v>
      </c>
      <c r="L6" s="9" t="s">
        <v>299</v>
      </c>
      <c r="M6" s="7" t="s">
        <v>300</v>
      </c>
      <c r="N6" s="7" t="s">
        <v>87</v>
      </c>
      <c r="O6" s="7" t="s">
        <v>88</v>
      </c>
    </row>
    <row r="7" customFormat="false" ht="32.25" hidden="false" customHeight="true" outlineLevel="0" collapsed="false">
      <c r="A7" s="8" t="n">
        <v>3</v>
      </c>
      <c r="B7" s="6" t="s">
        <v>67</v>
      </c>
      <c r="C7" s="6" t="s">
        <v>68</v>
      </c>
      <c r="D7" s="6" t="s">
        <v>69</v>
      </c>
      <c r="E7" s="6" t="s">
        <v>301</v>
      </c>
      <c r="F7" s="6" t="s">
        <v>302</v>
      </c>
      <c r="G7" s="6" t="s">
        <v>303</v>
      </c>
      <c r="H7" s="6" t="s">
        <v>304</v>
      </c>
      <c r="I7" s="6"/>
      <c r="J7" s="6"/>
      <c r="K7" s="6" t="s">
        <v>83</v>
      </c>
      <c r="L7" s="9" t="s">
        <v>103</v>
      </c>
      <c r="M7" s="7" t="s">
        <v>305</v>
      </c>
      <c r="N7" s="7" t="s">
        <v>87</v>
      </c>
      <c r="O7" s="7" t="s">
        <v>88</v>
      </c>
    </row>
    <row r="8" customFormat="false" ht="32.25" hidden="false" customHeight="true" outlineLevel="0" collapsed="false">
      <c r="A8" s="8" t="n">
        <v>4</v>
      </c>
      <c r="B8" s="6" t="s">
        <v>67</v>
      </c>
      <c r="C8" s="6" t="s">
        <v>68</v>
      </c>
      <c r="D8" s="6" t="s">
        <v>69</v>
      </c>
      <c r="E8" s="6" t="s">
        <v>301</v>
      </c>
      <c r="F8" s="6" t="s">
        <v>306</v>
      </c>
      <c r="G8" s="6" t="s">
        <v>307</v>
      </c>
      <c r="H8" s="6" t="s">
        <v>304</v>
      </c>
      <c r="I8" s="6"/>
      <c r="J8" s="6"/>
      <c r="K8" s="6" t="s">
        <v>83</v>
      </c>
      <c r="L8" s="9" t="s">
        <v>299</v>
      </c>
      <c r="M8" s="7" t="s">
        <v>308</v>
      </c>
      <c r="N8" s="7" t="s">
        <v>87</v>
      </c>
      <c r="O8" s="7" t="s">
        <v>88</v>
      </c>
    </row>
    <row r="9" customFormat="false" ht="32.25" hidden="false" customHeight="true" outlineLevel="0" collapsed="false">
      <c r="A9" s="8" t="n">
        <v>5</v>
      </c>
      <c r="B9" s="6" t="s">
        <v>67</v>
      </c>
      <c r="C9" s="6" t="s">
        <v>68</v>
      </c>
      <c r="D9" s="6" t="s">
        <v>69</v>
      </c>
      <c r="E9" s="6" t="s">
        <v>301</v>
      </c>
      <c r="F9" s="6" t="s">
        <v>309</v>
      </c>
      <c r="G9" s="6" t="s">
        <v>310</v>
      </c>
      <c r="H9" s="6" t="s">
        <v>304</v>
      </c>
      <c r="I9" s="6"/>
      <c r="J9" s="6"/>
      <c r="K9" s="6" t="s">
        <v>83</v>
      </c>
      <c r="L9" s="9" t="s">
        <v>103</v>
      </c>
      <c r="M9" s="7" t="s">
        <v>311</v>
      </c>
      <c r="N9" s="7" t="s">
        <v>87</v>
      </c>
      <c r="O9" s="7" t="s">
        <v>88</v>
      </c>
    </row>
    <row r="10" customFormat="false" ht="32.25" hidden="false" customHeight="true" outlineLevel="0" collapsed="false">
      <c r="A10" s="8" t="n">
        <v>6</v>
      </c>
      <c r="B10" s="6" t="s">
        <v>67</v>
      </c>
      <c r="C10" s="6" t="s">
        <v>68</v>
      </c>
      <c r="D10" s="6" t="s">
        <v>69</v>
      </c>
      <c r="E10" s="6" t="s">
        <v>292</v>
      </c>
      <c r="F10" s="6" t="s">
        <v>312</v>
      </c>
      <c r="G10" s="6" t="s">
        <v>313</v>
      </c>
      <c r="H10" s="6" t="s">
        <v>295</v>
      </c>
      <c r="I10" s="6"/>
      <c r="J10" s="6"/>
      <c r="K10" s="6" t="s">
        <v>83</v>
      </c>
      <c r="L10" s="9" t="s">
        <v>299</v>
      </c>
      <c r="M10" s="7" t="s">
        <v>314</v>
      </c>
      <c r="N10" s="7" t="s">
        <v>87</v>
      </c>
      <c r="O10" s="7" t="s">
        <v>88</v>
      </c>
    </row>
    <row r="11" customFormat="false" ht="32.25" hidden="false" customHeight="true" outlineLevel="0" collapsed="false">
      <c r="A11" s="8" t="n">
        <v>7</v>
      </c>
      <c r="B11" s="6" t="s">
        <v>89</v>
      </c>
      <c r="C11" s="6" t="s">
        <v>90</v>
      </c>
      <c r="D11" s="6" t="s">
        <v>91</v>
      </c>
      <c r="E11" s="6" t="s">
        <v>315</v>
      </c>
      <c r="F11" s="6" t="s">
        <v>316</v>
      </c>
      <c r="G11" s="6" t="s">
        <v>317</v>
      </c>
      <c r="H11" s="6" t="s">
        <v>318</v>
      </c>
      <c r="I11" s="6" t="s">
        <v>319</v>
      </c>
      <c r="J11" s="6" t="s">
        <v>320</v>
      </c>
      <c r="K11" s="6" t="s">
        <v>102</v>
      </c>
      <c r="L11" s="9" t="s">
        <v>103</v>
      </c>
      <c r="M11" s="7" t="s">
        <v>321</v>
      </c>
      <c r="N11" s="7" t="s">
        <v>87</v>
      </c>
      <c r="O11" s="7" t="s">
        <v>88</v>
      </c>
    </row>
    <row r="12" customFormat="false" ht="32.25" hidden="false" customHeight="true" outlineLevel="0" collapsed="false">
      <c r="A12" s="8" t="n">
        <v>8</v>
      </c>
      <c r="B12" s="6" t="s">
        <v>89</v>
      </c>
      <c r="C12" s="6" t="s">
        <v>90</v>
      </c>
      <c r="D12" s="6" t="s">
        <v>91</v>
      </c>
      <c r="E12" s="6" t="s">
        <v>315</v>
      </c>
      <c r="F12" s="6" t="s">
        <v>322</v>
      </c>
      <c r="G12" s="6" t="s">
        <v>323</v>
      </c>
      <c r="H12" s="6" t="s">
        <v>324</v>
      </c>
      <c r="I12" s="6"/>
      <c r="J12" s="6"/>
      <c r="K12" s="6" t="s">
        <v>102</v>
      </c>
      <c r="L12" s="9" t="s">
        <v>103</v>
      </c>
      <c r="M12" s="7" t="s">
        <v>325</v>
      </c>
      <c r="N12" s="7" t="s">
        <v>87</v>
      </c>
      <c r="O12" s="7" t="s">
        <v>88</v>
      </c>
    </row>
    <row r="13" customFormat="false" ht="32.25" hidden="false" customHeight="true" outlineLevel="0" collapsed="false">
      <c r="A13" s="8" t="n">
        <v>9</v>
      </c>
      <c r="B13" s="6" t="s">
        <v>89</v>
      </c>
      <c r="C13" s="6" t="s">
        <v>90</v>
      </c>
      <c r="D13" s="6" t="s">
        <v>91</v>
      </c>
      <c r="E13" s="6" t="s">
        <v>315</v>
      </c>
      <c r="F13" s="6" t="s">
        <v>326</v>
      </c>
      <c r="G13" s="6" t="s">
        <v>327</v>
      </c>
      <c r="H13" s="6" t="s">
        <v>324</v>
      </c>
      <c r="I13" s="6"/>
      <c r="J13" s="6"/>
      <c r="K13" s="6" t="s">
        <v>102</v>
      </c>
      <c r="L13" s="9" t="s">
        <v>103</v>
      </c>
      <c r="M13" s="7" t="s">
        <v>328</v>
      </c>
      <c r="N13" s="7" t="s">
        <v>87</v>
      </c>
      <c r="O13" s="7" t="s">
        <v>88</v>
      </c>
    </row>
    <row r="14" customFormat="false" ht="21" hidden="false" customHeight="true" outlineLevel="0" collapsed="false">
      <c r="A14" s="8" t="n">
        <v>10</v>
      </c>
      <c r="B14" s="6" t="s">
        <v>105</v>
      </c>
      <c r="C14" s="6" t="s">
        <v>106</v>
      </c>
      <c r="D14" s="6" t="s">
        <v>107</v>
      </c>
      <c r="E14" s="6" t="s">
        <v>329</v>
      </c>
      <c r="F14" s="6" t="s">
        <v>330</v>
      </c>
      <c r="G14" s="6" t="s">
        <v>331</v>
      </c>
      <c r="H14" s="6"/>
      <c r="I14" s="6"/>
      <c r="J14" s="6"/>
      <c r="K14" s="6" t="s">
        <v>119</v>
      </c>
      <c r="L14" s="9" t="s">
        <v>103</v>
      </c>
      <c r="M14" s="7" t="s">
        <v>332</v>
      </c>
      <c r="N14" s="7" t="s">
        <v>87</v>
      </c>
      <c r="O14" s="7" t="s">
        <v>88</v>
      </c>
    </row>
    <row r="15" customFormat="false" ht="21" hidden="false" customHeight="true" outlineLevel="0" collapsed="false">
      <c r="A15" s="8" t="n">
        <v>11</v>
      </c>
      <c r="B15" s="6" t="s">
        <v>105</v>
      </c>
      <c r="C15" s="6" t="s">
        <v>106</v>
      </c>
      <c r="D15" s="6" t="s">
        <v>107</v>
      </c>
      <c r="E15" s="6" t="s">
        <v>329</v>
      </c>
      <c r="F15" s="6" t="s">
        <v>333</v>
      </c>
      <c r="G15" s="6" t="s">
        <v>334</v>
      </c>
      <c r="H15" s="6"/>
      <c r="I15" s="6"/>
      <c r="J15" s="6"/>
      <c r="K15" s="6" t="s">
        <v>119</v>
      </c>
      <c r="L15" s="9" t="s">
        <v>103</v>
      </c>
      <c r="M15" s="7" t="s">
        <v>335</v>
      </c>
      <c r="N15" s="7" t="s">
        <v>87</v>
      </c>
      <c r="O15" s="7" t="s">
        <v>88</v>
      </c>
    </row>
    <row r="16" customFormat="false" ht="21" hidden="false" customHeight="true" outlineLevel="0" collapsed="false">
      <c r="A16" s="8" t="n">
        <v>12</v>
      </c>
      <c r="B16" s="6" t="s">
        <v>105</v>
      </c>
      <c r="C16" s="6" t="s">
        <v>106</v>
      </c>
      <c r="D16" s="6" t="s">
        <v>107</v>
      </c>
      <c r="E16" s="6" t="s">
        <v>329</v>
      </c>
      <c r="F16" s="6" t="s">
        <v>336</v>
      </c>
      <c r="G16" s="6" t="s">
        <v>337</v>
      </c>
      <c r="H16" s="6"/>
      <c r="I16" s="6"/>
      <c r="J16" s="6"/>
      <c r="K16" s="6" t="s">
        <v>119</v>
      </c>
      <c r="L16" s="9" t="s">
        <v>103</v>
      </c>
      <c r="M16" s="7" t="s">
        <v>338</v>
      </c>
      <c r="N16" s="7" t="s">
        <v>87</v>
      </c>
      <c r="O16" s="7" t="s">
        <v>88</v>
      </c>
    </row>
    <row r="17" customFormat="false" ht="21" hidden="false" customHeight="true" outlineLevel="0" collapsed="false">
      <c r="A17" s="8" t="n">
        <v>13</v>
      </c>
      <c r="B17" s="6" t="s">
        <v>105</v>
      </c>
      <c r="C17" s="6" t="s">
        <v>106</v>
      </c>
      <c r="D17" s="6" t="s">
        <v>107</v>
      </c>
      <c r="E17" s="6" t="s">
        <v>329</v>
      </c>
      <c r="F17" s="6" t="s">
        <v>339</v>
      </c>
      <c r="G17" s="6" t="s">
        <v>340</v>
      </c>
      <c r="H17" s="6"/>
      <c r="I17" s="6"/>
      <c r="J17" s="6"/>
      <c r="K17" s="6" t="s">
        <v>119</v>
      </c>
      <c r="L17" s="9" t="s">
        <v>103</v>
      </c>
      <c r="M17" s="7" t="s">
        <v>341</v>
      </c>
      <c r="N17" s="7" t="s">
        <v>87</v>
      </c>
      <c r="O17" s="7" t="s">
        <v>88</v>
      </c>
    </row>
    <row r="18" customFormat="false" ht="21" hidden="false" customHeight="true" outlineLevel="0" collapsed="false">
      <c r="A18" s="8" t="n">
        <v>14</v>
      </c>
      <c r="B18" s="6" t="s">
        <v>105</v>
      </c>
      <c r="C18" s="6" t="s">
        <v>106</v>
      </c>
      <c r="D18" s="6" t="s">
        <v>107</v>
      </c>
      <c r="E18" s="6" t="s">
        <v>329</v>
      </c>
      <c r="F18" s="6" t="s">
        <v>342</v>
      </c>
      <c r="G18" s="6" t="s">
        <v>343</v>
      </c>
      <c r="H18" s="6"/>
      <c r="I18" s="6"/>
      <c r="J18" s="6"/>
      <c r="K18" s="6" t="s">
        <v>119</v>
      </c>
      <c r="L18" s="9" t="s">
        <v>103</v>
      </c>
      <c r="M18" s="7" t="s">
        <v>344</v>
      </c>
      <c r="N18" s="7" t="s">
        <v>87</v>
      </c>
      <c r="O18" s="7" t="s">
        <v>88</v>
      </c>
    </row>
    <row r="19" customFormat="false" ht="21" hidden="false" customHeight="true" outlineLevel="0" collapsed="false">
      <c r="A19" s="8" t="n">
        <v>15</v>
      </c>
      <c r="B19" s="6" t="s">
        <v>105</v>
      </c>
      <c r="C19" s="6" t="s">
        <v>106</v>
      </c>
      <c r="D19" s="6" t="s">
        <v>107</v>
      </c>
      <c r="E19" s="6" t="s">
        <v>329</v>
      </c>
      <c r="F19" s="6" t="s">
        <v>345</v>
      </c>
      <c r="G19" s="6" t="s">
        <v>346</v>
      </c>
      <c r="H19" s="6"/>
      <c r="I19" s="6"/>
      <c r="J19" s="6"/>
      <c r="K19" s="6" t="s">
        <v>119</v>
      </c>
      <c r="L19" s="9" t="s">
        <v>103</v>
      </c>
      <c r="M19" s="7" t="s">
        <v>347</v>
      </c>
      <c r="N19" s="7" t="s">
        <v>87</v>
      </c>
      <c r="O19" s="7" t="s">
        <v>88</v>
      </c>
    </row>
    <row r="20" customFormat="false" ht="32.25" hidden="false" customHeight="true" outlineLevel="0" collapsed="false">
      <c r="A20" s="8" t="n">
        <v>16</v>
      </c>
      <c r="B20" s="6" t="s">
        <v>122</v>
      </c>
      <c r="C20" s="6" t="s">
        <v>123</v>
      </c>
      <c r="D20" s="6" t="s">
        <v>124</v>
      </c>
      <c r="E20" s="6" t="s">
        <v>315</v>
      </c>
      <c r="F20" s="6" t="s">
        <v>348</v>
      </c>
      <c r="G20" s="6" t="s">
        <v>349</v>
      </c>
      <c r="H20" s="6"/>
      <c r="I20" s="6"/>
      <c r="J20" s="6"/>
      <c r="K20" s="6" t="s">
        <v>132</v>
      </c>
      <c r="L20" s="9" t="s">
        <v>103</v>
      </c>
      <c r="M20" s="7" t="s">
        <v>350</v>
      </c>
      <c r="N20" s="7" t="s">
        <v>87</v>
      </c>
      <c r="O20" s="7" t="s">
        <v>88</v>
      </c>
    </row>
    <row r="21" customFormat="false" ht="32.25" hidden="false" customHeight="true" outlineLevel="0" collapsed="false">
      <c r="A21" s="8" t="n">
        <v>17</v>
      </c>
      <c r="B21" s="6" t="s">
        <v>122</v>
      </c>
      <c r="C21" s="6" t="s">
        <v>123</v>
      </c>
      <c r="D21" s="6" t="s">
        <v>124</v>
      </c>
      <c r="E21" s="6" t="s">
        <v>292</v>
      </c>
      <c r="F21" s="6" t="s">
        <v>351</v>
      </c>
      <c r="G21" s="6" t="s">
        <v>352</v>
      </c>
      <c r="H21" s="6" t="s">
        <v>353</v>
      </c>
      <c r="I21" s="6"/>
      <c r="J21" s="6"/>
      <c r="K21" s="6" t="s">
        <v>132</v>
      </c>
      <c r="L21" s="9" t="s">
        <v>103</v>
      </c>
      <c r="M21" s="7" t="s">
        <v>354</v>
      </c>
      <c r="N21" s="7" t="s">
        <v>87</v>
      </c>
      <c r="O21" s="7" t="s">
        <v>88</v>
      </c>
    </row>
    <row r="22" customFormat="false" ht="32.25" hidden="false" customHeight="true" outlineLevel="0" collapsed="false">
      <c r="A22" s="8" t="n">
        <v>18</v>
      </c>
      <c r="B22" s="6" t="s">
        <v>122</v>
      </c>
      <c r="C22" s="6" t="s">
        <v>123</v>
      </c>
      <c r="D22" s="6" t="s">
        <v>124</v>
      </c>
      <c r="E22" s="6" t="s">
        <v>292</v>
      </c>
      <c r="F22" s="6" t="s">
        <v>355</v>
      </c>
      <c r="G22" s="6" t="s">
        <v>356</v>
      </c>
      <c r="H22" s="6" t="s">
        <v>353</v>
      </c>
      <c r="I22" s="6"/>
      <c r="J22" s="6"/>
      <c r="K22" s="6" t="s">
        <v>132</v>
      </c>
      <c r="L22" s="9" t="s">
        <v>103</v>
      </c>
      <c r="M22" s="7" t="s">
        <v>357</v>
      </c>
      <c r="N22" s="7" t="s">
        <v>87</v>
      </c>
      <c r="O22" s="7" t="s">
        <v>88</v>
      </c>
    </row>
    <row r="23" customFormat="false" ht="32.25" hidden="false" customHeight="true" outlineLevel="0" collapsed="false">
      <c r="A23" s="8" t="n">
        <v>19</v>
      </c>
      <c r="B23" s="6" t="s">
        <v>122</v>
      </c>
      <c r="C23" s="6" t="s">
        <v>123</v>
      </c>
      <c r="D23" s="6" t="s">
        <v>124</v>
      </c>
      <c r="E23" s="6" t="s">
        <v>292</v>
      </c>
      <c r="F23" s="6" t="s">
        <v>358</v>
      </c>
      <c r="G23" s="6" t="s">
        <v>359</v>
      </c>
      <c r="H23" s="6"/>
      <c r="I23" s="6"/>
      <c r="J23" s="6"/>
      <c r="K23" s="6" t="s">
        <v>132</v>
      </c>
      <c r="L23" s="9" t="s">
        <v>103</v>
      </c>
      <c r="M23" s="7" t="s">
        <v>360</v>
      </c>
      <c r="N23" s="7" t="s">
        <v>87</v>
      </c>
      <c r="O23" s="7" t="s">
        <v>88</v>
      </c>
    </row>
    <row r="24" customFormat="false" ht="32.25" hidden="false" customHeight="true" outlineLevel="0" collapsed="false">
      <c r="A24" s="8" t="n">
        <v>20</v>
      </c>
      <c r="B24" s="6" t="s">
        <v>122</v>
      </c>
      <c r="C24" s="6" t="s">
        <v>123</v>
      </c>
      <c r="D24" s="6" t="s">
        <v>124</v>
      </c>
      <c r="E24" s="6" t="s">
        <v>315</v>
      </c>
      <c r="F24" s="6" t="s">
        <v>361</v>
      </c>
      <c r="G24" s="6" t="s">
        <v>362</v>
      </c>
      <c r="H24" s="6"/>
      <c r="I24" s="6"/>
      <c r="J24" s="6"/>
      <c r="K24" s="6" t="s">
        <v>132</v>
      </c>
      <c r="L24" s="9" t="s">
        <v>103</v>
      </c>
      <c r="M24" s="7" t="s">
        <v>363</v>
      </c>
      <c r="N24" s="7" t="s">
        <v>87</v>
      </c>
      <c r="O24" s="7" t="s">
        <v>88</v>
      </c>
    </row>
    <row r="25" customFormat="false" ht="32.25" hidden="false" customHeight="true" outlineLevel="0" collapsed="false">
      <c r="A25" s="8" t="n">
        <v>21</v>
      </c>
      <c r="B25" s="6" t="s">
        <v>134</v>
      </c>
      <c r="C25" s="6" t="s">
        <v>135</v>
      </c>
      <c r="D25" s="6" t="s">
        <v>136</v>
      </c>
      <c r="E25" s="6" t="s">
        <v>329</v>
      </c>
      <c r="F25" s="6" t="s">
        <v>364</v>
      </c>
      <c r="G25" s="6" t="s">
        <v>365</v>
      </c>
      <c r="H25" s="6"/>
      <c r="I25" s="6"/>
      <c r="J25" s="6"/>
      <c r="K25" s="6" t="s">
        <v>147</v>
      </c>
      <c r="L25" s="9" t="s">
        <v>103</v>
      </c>
      <c r="M25" s="7" t="s">
        <v>366</v>
      </c>
      <c r="N25" s="7" t="s">
        <v>87</v>
      </c>
      <c r="O25" s="7" t="s">
        <v>88</v>
      </c>
    </row>
    <row r="26" customFormat="false" ht="32.25" hidden="false" customHeight="true" outlineLevel="0" collapsed="false">
      <c r="A26" s="8" t="n">
        <v>22</v>
      </c>
      <c r="B26" s="6" t="s">
        <v>134</v>
      </c>
      <c r="C26" s="6" t="s">
        <v>135</v>
      </c>
      <c r="D26" s="6" t="s">
        <v>136</v>
      </c>
      <c r="E26" s="6" t="s">
        <v>329</v>
      </c>
      <c r="F26" s="6" t="s">
        <v>367</v>
      </c>
      <c r="G26" s="6" t="s">
        <v>368</v>
      </c>
      <c r="H26" s="6"/>
      <c r="I26" s="6"/>
      <c r="J26" s="6"/>
      <c r="K26" s="6" t="s">
        <v>147</v>
      </c>
      <c r="L26" s="9" t="s">
        <v>103</v>
      </c>
      <c r="M26" s="7" t="s">
        <v>369</v>
      </c>
      <c r="N26" s="7" t="s">
        <v>87</v>
      </c>
      <c r="O26" s="7" t="s">
        <v>88</v>
      </c>
    </row>
    <row r="27" customFormat="false" ht="32.25" hidden="false" customHeight="true" outlineLevel="0" collapsed="false">
      <c r="A27" s="8" t="n">
        <v>23</v>
      </c>
      <c r="B27" s="6" t="s">
        <v>134</v>
      </c>
      <c r="C27" s="6" t="s">
        <v>135</v>
      </c>
      <c r="D27" s="6" t="s">
        <v>136</v>
      </c>
      <c r="E27" s="6" t="s">
        <v>329</v>
      </c>
      <c r="F27" s="6" t="s">
        <v>370</v>
      </c>
      <c r="G27" s="6" t="s">
        <v>371</v>
      </c>
      <c r="H27" s="6"/>
      <c r="I27" s="6"/>
      <c r="J27" s="6"/>
      <c r="K27" s="6" t="s">
        <v>147</v>
      </c>
      <c r="L27" s="9" t="s">
        <v>103</v>
      </c>
      <c r="M27" s="7" t="s">
        <v>372</v>
      </c>
      <c r="N27" s="7" t="s">
        <v>87</v>
      </c>
      <c r="O27" s="7" t="s">
        <v>88</v>
      </c>
    </row>
    <row r="28" customFormat="false" ht="32.25" hidden="false" customHeight="true" outlineLevel="0" collapsed="false">
      <c r="A28" s="8" t="n">
        <v>24</v>
      </c>
      <c r="B28" s="6" t="s">
        <v>134</v>
      </c>
      <c r="C28" s="6" t="s">
        <v>135</v>
      </c>
      <c r="D28" s="6" t="s">
        <v>136</v>
      </c>
      <c r="E28" s="6" t="s">
        <v>329</v>
      </c>
      <c r="F28" s="6" t="s">
        <v>373</v>
      </c>
      <c r="G28" s="6" t="s">
        <v>374</v>
      </c>
      <c r="H28" s="6"/>
      <c r="I28" s="6"/>
      <c r="J28" s="6"/>
      <c r="K28" s="6" t="s">
        <v>147</v>
      </c>
      <c r="L28" s="9" t="s">
        <v>103</v>
      </c>
      <c r="M28" s="7" t="s">
        <v>375</v>
      </c>
      <c r="N28" s="7" t="s">
        <v>87</v>
      </c>
      <c r="O28" s="7" t="s">
        <v>88</v>
      </c>
    </row>
    <row r="29" customFormat="false" ht="32.25" hidden="false" customHeight="true" outlineLevel="0" collapsed="false">
      <c r="A29" s="8" t="n">
        <v>25</v>
      </c>
      <c r="B29" s="6" t="s">
        <v>134</v>
      </c>
      <c r="C29" s="6" t="s">
        <v>135</v>
      </c>
      <c r="D29" s="6" t="s">
        <v>136</v>
      </c>
      <c r="E29" s="6" t="s">
        <v>301</v>
      </c>
      <c r="F29" s="6" t="s">
        <v>376</v>
      </c>
      <c r="G29" s="6" t="s">
        <v>377</v>
      </c>
      <c r="H29" s="6"/>
      <c r="I29" s="6"/>
      <c r="J29" s="6"/>
      <c r="K29" s="6" t="s">
        <v>147</v>
      </c>
      <c r="L29" s="9" t="s">
        <v>103</v>
      </c>
      <c r="M29" s="7" t="s">
        <v>378</v>
      </c>
      <c r="N29" s="7" t="s">
        <v>87</v>
      </c>
      <c r="O29" s="7" t="s">
        <v>88</v>
      </c>
    </row>
    <row r="30" customFormat="false" ht="32.25" hidden="false" customHeight="true" outlineLevel="0" collapsed="false">
      <c r="A30" s="8" t="n">
        <v>26</v>
      </c>
      <c r="B30" s="6" t="s">
        <v>134</v>
      </c>
      <c r="C30" s="6" t="s">
        <v>135</v>
      </c>
      <c r="D30" s="6" t="s">
        <v>136</v>
      </c>
      <c r="E30" s="6" t="s">
        <v>301</v>
      </c>
      <c r="F30" s="6" t="s">
        <v>379</v>
      </c>
      <c r="G30" s="6" t="s">
        <v>380</v>
      </c>
      <c r="H30" s="6"/>
      <c r="I30" s="6"/>
      <c r="J30" s="6"/>
      <c r="K30" s="6" t="s">
        <v>147</v>
      </c>
      <c r="L30" s="9" t="s">
        <v>103</v>
      </c>
      <c r="M30" s="7" t="s">
        <v>381</v>
      </c>
      <c r="N30" s="7" t="s">
        <v>87</v>
      </c>
      <c r="O30" s="7" t="s">
        <v>88</v>
      </c>
    </row>
    <row r="31" customFormat="false" ht="21" hidden="false" customHeight="true" outlineLevel="0" collapsed="false">
      <c r="A31" s="8" t="n">
        <v>27</v>
      </c>
      <c r="B31" s="6" t="s">
        <v>149</v>
      </c>
      <c r="C31" s="6" t="s">
        <v>150</v>
      </c>
      <c r="D31" s="6" t="s">
        <v>151</v>
      </c>
      <c r="E31" s="6" t="s">
        <v>382</v>
      </c>
      <c r="F31" s="6" t="s">
        <v>383</v>
      </c>
      <c r="G31" s="6" t="s">
        <v>384</v>
      </c>
      <c r="H31" s="6"/>
      <c r="I31" s="6"/>
      <c r="J31" s="6"/>
      <c r="K31" s="6" t="s">
        <v>162</v>
      </c>
      <c r="L31" s="9" t="s">
        <v>103</v>
      </c>
      <c r="M31" s="7" t="s">
        <v>385</v>
      </c>
      <c r="N31" s="7" t="s">
        <v>87</v>
      </c>
      <c r="O31" s="7" t="s">
        <v>88</v>
      </c>
    </row>
    <row r="32" customFormat="false" ht="21" hidden="false" customHeight="true" outlineLevel="0" collapsed="false">
      <c r="A32" s="8" t="n">
        <v>28</v>
      </c>
      <c r="B32" s="6" t="s">
        <v>149</v>
      </c>
      <c r="C32" s="6" t="s">
        <v>150</v>
      </c>
      <c r="D32" s="6" t="s">
        <v>151</v>
      </c>
      <c r="E32" s="6" t="s">
        <v>301</v>
      </c>
      <c r="F32" s="6" t="s">
        <v>386</v>
      </c>
      <c r="G32" s="6" t="s">
        <v>387</v>
      </c>
      <c r="H32" s="6"/>
      <c r="I32" s="6"/>
      <c r="J32" s="6"/>
      <c r="K32" s="6" t="s">
        <v>162</v>
      </c>
      <c r="L32" s="9" t="s">
        <v>103</v>
      </c>
      <c r="M32" s="7" t="s">
        <v>388</v>
      </c>
      <c r="N32" s="7" t="s">
        <v>87</v>
      </c>
      <c r="O32" s="7" t="s">
        <v>88</v>
      </c>
    </row>
    <row r="33" customFormat="false" ht="21" hidden="false" customHeight="true" outlineLevel="0" collapsed="false">
      <c r="A33" s="8" t="n">
        <v>29</v>
      </c>
      <c r="B33" s="6" t="s">
        <v>149</v>
      </c>
      <c r="C33" s="6" t="s">
        <v>150</v>
      </c>
      <c r="D33" s="6" t="s">
        <v>151</v>
      </c>
      <c r="E33" s="6" t="s">
        <v>301</v>
      </c>
      <c r="F33" s="6" t="s">
        <v>389</v>
      </c>
      <c r="G33" s="6" t="s">
        <v>390</v>
      </c>
      <c r="H33" s="6"/>
      <c r="I33" s="6"/>
      <c r="J33" s="6"/>
      <c r="K33" s="6" t="s">
        <v>162</v>
      </c>
      <c r="L33" s="9" t="s">
        <v>103</v>
      </c>
      <c r="M33" s="7" t="s">
        <v>391</v>
      </c>
      <c r="N33" s="7" t="s">
        <v>87</v>
      </c>
      <c r="O33" s="7" t="s">
        <v>88</v>
      </c>
    </row>
    <row r="34" customFormat="false" ht="21" hidden="false" customHeight="true" outlineLevel="0" collapsed="false">
      <c r="A34" s="8" t="n">
        <v>30</v>
      </c>
      <c r="B34" s="6" t="s">
        <v>149</v>
      </c>
      <c r="C34" s="6" t="s">
        <v>150</v>
      </c>
      <c r="D34" s="6" t="s">
        <v>151</v>
      </c>
      <c r="E34" s="6" t="s">
        <v>301</v>
      </c>
      <c r="F34" s="6" t="s">
        <v>392</v>
      </c>
      <c r="G34" s="6" t="s">
        <v>393</v>
      </c>
      <c r="H34" s="6"/>
      <c r="I34" s="6"/>
      <c r="J34" s="6"/>
      <c r="K34" s="6" t="s">
        <v>162</v>
      </c>
      <c r="L34" s="9" t="s">
        <v>103</v>
      </c>
      <c r="M34" s="7" t="s">
        <v>394</v>
      </c>
      <c r="N34" s="7" t="s">
        <v>87</v>
      </c>
      <c r="O34" s="7" t="s">
        <v>88</v>
      </c>
    </row>
    <row r="35" customFormat="false" ht="21" hidden="false" customHeight="true" outlineLevel="0" collapsed="false">
      <c r="A35" s="8" t="n">
        <v>31</v>
      </c>
      <c r="B35" s="6" t="s">
        <v>149</v>
      </c>
      <c r="C35" s="6" t="s">
        <v>150</v>
      </c>
      <c r="D35" s="6" t="s">
        <v>151</v>
      </c>
      <c r="E35" s="6" t="s">
        <v>292</v>
      </c>
      <c r="F35" s="6" t="s">
        <v>395</v>
      </c>
      <c r="G35" s="6" t="s">
        <v>396</v>
      </c>
      <c r="H35" s="6"/>
      <c r="I35" s="6"/>
      <c r="J35" s="6"/>
      <c r="K35" s="6" t="s">
        <v>162</v>
      </c>
      <c r="L35" s="9" t="s">
        <v>103</v>
      </c>
      <c r="M35" s="7" t="s">
        <v>397</v>
      </c>
      <c r="N35" s="7" t="s">
        <v>87</v>
      </c>
      <c r="O35" s="7" t="s">
        <v>88</v>
      </c>
    </row>
    <row r="36" customFormat="false" ht="21" hidden="false" customHeight="true" outlineLevel="0" collapsed="false">
      <c r="A36" s="8" t="n">
        <v>32</v>
      </c>
      <c r="B36" s="6" t="s">
        <v>149</v>
      </c>
      <c r="C36" s="6" t="s">
        <v>150</v>
      </c>
      <c r="D36" s="6" t="s">
        <v>151</v>
      </c>
      <c r="E36" s="6" t="s">
        <v>292</v>
      </c>
      <c r="F36" s="6" t="s">
        <v>398</v>
      </c>
      <c r="G36" s="6" t="s">
        <v>399</v>
      </c>
      <c r="H36" s="6" t="s">
        <v>400</v>
      </c>
      <c r="I36" s="6"/>
      <c r="J36" s="6"/>
      <c r="K36" s="6" t="s">
        <v>162</v>
      </c>
      <c r="L36" s="9" t="s">
        <v>103</v>
      </c>
      <c r="M36" s="7" t="s">
        <v>401</v>
      </c>
      <c r="N36" s="7" t="s">
        <v>87</v>
      </c>
      <c r="O36" s="7" t="s">
        <v>88</v>
      </c>
    </row>
    <row r="37" customFormat="false" ht="21" hidden="false" customHeight="true" outlineLevel="0" collapsed="false">
      <c r="A37" s="8" t="n">
        <v>33</v>
      </c>
      <c r="B37" s="6" t="s">
        <v>164</v>
      </c>
      <c r="C37" s="6" t="s">
        <v>165</v>
      </c>
      <c r="D37" s="6" t="s">
        <v>166</v>
      </c>
      <c r="E37" s="6" t="s">
        <v>329</v>
      </c>
      <c r="F37" s="6" t="s">
        <v>402</v>
      </c>
      <c r="G37" s="6" t="s">
        <v>403</v>
      </c>
      <c r="H37" s="6"/>
      <c r="I37" s="6"/>
      <c r="J37" s="6"/>
      <c r="K37" s="6" t="s">
        <v>174</v>
      </c>
      <c r="L37" s="9" t="s">
        <v>103</v>
      </c>
      <c r="M37" s="7" t="s">
        <v>404</v>
      </c>
      <c r="N37" s="7" t="s">
        <v>87</v>
      </c>
      <c r="O37" s="7" t="s">
        <v>88</v>
      </c>
    </row>
    <row r="38" customFormat="false" ht="21" hidden="false" customHeight="true" outlineLevel="0" collapsed="false">
      <c r="A38" s="8" t="n">
        <v>34</v>
      </c>
      <c r="B38" s="6" t="s">
        <v>164</v>
      </c>
      <c r="C38" s="6" t="s">
        <v>165</v>
      </c>
      <c r="D38" s="6" t="s">
        <v>166</v>
      </c>
      <c r="E38" s="6" t="s">
        <v>329</v>
      </c>
      <c r="F38" s="6" t="s">
        <v>405</v>
      </c>
      <c r="G38" s="6" t="s">
        <v>406</v>
      </c>
      <c r="H38" s="6"/>
      <c r="I38" s="6"/>
      <c r="J38" s="6"/>
      <c r="K38" s="6" t="s">
        <v>174</v>
      </c>
      <c r="L38" s="9" t="s">
        <v>103</v>
      </c>
      <c r="M38" s="7" t="s">
        <v>407</v>
      </c>
      <c r="N38" s="7" t="s">
        <v>87</v>
      </c>
      <c r="O38" s="7" t="s">
        <v>88</v>
      </c>
    </row>
    <row r="39" customFormat="false" ht="21" hidden="false" customHeight="true" outlineLevel="0" collapsed="false">
      <c r="A39" s="8" t="n">
        <v>35</v>
      </c>
      <c r="B39" s="6" t="s">
        <v>164</v>
      </c>
      <c r="C39" s="6" t="s">
        <v>165</v>
      </c>
      <c r="D39" s="6" t="s">
        <v>166</v>
      </c>
      <c r="E39" s="6" t="s">
        <v>329</v>
      </c>
      <c r="F39" s="6" t="s">
        <v>408</v>
      </c>
      <c r="G39" s="6" t="s">
        <v>409</v>
      </c>
      <c r="H39" s="6"/>
      <c r="I39" s="6"/>
      <c r="J39" s="6"/>
      <c r="K39" s="6" t="s">
        <v>174</v>
      </c>
      <c r="L39" s="9" t="s">
        <v>103</v>
      </c>
      <c r="M39" s="7" t="s">
        <v>410</v>
      </c>
      <c r="N39" s="7" t="s">
        <v>87</v>
      </c>
      <c r="O39" s="7" t="s">
        <v>88</v>
      </c>
    </row>
    <row r="40" customFormat="false" ht="21" hidden="false" customHeight="true" outlineLevel="0" collapsed="false">
      <c r="A40" s="8" t="n">
        <v>36</v>
      </c>
      <c r="B40" s="6" t="s">
        <v>164</v>
      </c>
      <c r="C40" s="6" t="s">
        <v>165</v>
      </c>
      <c r="D40" s="6" t="s">
        <v>166</v>
      </c>
      <c r="E40" s="6" t="s">
        <v>329</v>
      </c>
      <c r="F40" s="6" t="s">
        <v>411</v>
      </c>
      <c r="G40" s="6" t="s">
        <v>412</v>
      </c>
      <c r="H40" s="6"/>
      <c r="I40" s="6"/>
      <c r="J40" s="6"/>
      <c r="K40" s="6" t="s">
        <v>174</v>
      </c>
      <c r="L40" s="9" t="s">
        <v>103</v>
      </c>
      <c r="M40" s="7" t="s">
        <v>413</v>
      </c>
      <c r="N40" s="7" t="s">
        <v>87</v>
      </c>
      <c r="O40" s="7" t="s">
        <v>88</v>
      </c>
    </row>
    <row r="41" customFormat="false" ht="21" hidden="false" customHeight="true" outlineLevel="0" collapsed="false">
      <c r="A41" s="8" t="n">
        <v>37</v>
      </c>
      <c r="B41" s="6" t="s">
        <v>164</v>
      </c>
      <c r="C41" s="6" t="s">
        <v>165</v>
      </c>
      <c r="D41" s="6" t="s">
        <v>166</v>
      </c>
      <c r="E41" s="6" t="s">
        <v>382</v>
      </c>
      <c r="F41" s="6" t="s">
        <v>414</v>
      </c>
      <c r="G41" s="6" t="s">
        <v>415</v>
      </c>
      <c r="H41" s="6"/>
      <c r="I41" s="6"/>
      <c r="J41" s="6"/>
      <c r="K41" s="6" t="s">
        <v>174</v>
      </c>
      <c r="L41" s="9" t="s">
        <v>103</v>
      </c>
      <c r="M41" s="7" t="s">
        <v>416</v>
      </c>
      <c r="N41" s="7" t="s">
        <v>87</v>
      </c>
      <c r="O41" s="7" t="s">
        <v>88</v>
      </c>
    </row>
    <row r="42" customFormat="false" ht="21" hidden="false" customHeight="true" outlineLevel="0" collapsed="false">
      <c r="A42" s="8" t="n">
        <v>38</v>
      </c>
      <c r="B42" s="6" t="s">
        <v>176</v>
      </c>
      <c r="C42" s="6" t="s">
        <v>177</v>
      </c>
      <c r="D42" s="6" t="s">
        <v>178</v>
      </c>
      <c r="E42" s="6" t="s">
        <v>301</v>
      </c>
      <c r="F42" s="6" t="s">
        <v>417</v>
      </c>
      <c r="G42" s="6" t="s">
        <v>418</v>
      </c>
      <c r="H42" s="6"/>
      <c r="I42" s="6"/>
      <c r="J42" s="6"/>
      <c r="K42" s="6" t="s">
        <v>187</v>
      </c>
      <c r="L42" s="9" t="s">
        <v>103</v>
      </c>
      <c r="M42" s="7" t="s">
        <v>419</v>
      </c>
      <c r="N42" s="7" t="s">
        <v>87</v>
      </c>
      <c r="O42" s="7" t="s">
        <v>88</v>
      </c>
    </row>
    <row r="43" customFormat="false" ht="21" hidden="false" customHeight="true" outlineLevel="0" collapsed="false">
      <c r="A43" s="8" t="n">
        <v>39</v>
      </c>
      <c r="B43" s="6" t="s">
        <v>176</v>
      </c>
      <c r="C43" s="6" t="s">
        <v>177</v>
      </c>
      <c r="D43" s="6" t="s">
        <v>178</v>
      </c>
      <c r="E43" s="6" t="s">
        <v>329</v>
      </c>
      <c r="F43" s="6" t="s">
        <v>420</v>
      </c>
      <c r="G43" s="6" t="s">
        <v>421</v>
      </c>
      <c r="H43" s="6"/>
      <c r="I43" s="6"/>
      <c r="J43" s="6"/>
      <c r="K43" s="6" t="s">
        <v>187</v>
      </c>
      <c r="L43" s="9" t="s">
        <v>103</v>
      </c>
      <c r="M43" s="7" t="s">
        <v>422</v>
      </c>
      <c r="N43" s="7" t="s">
        <v>87</v>
      </c>
      <c r="O43" s="7" t="s">
        <v>88</v>
      </c>
    </row>
    <row r="44" customFormat="false" ht="21" hidden="false" customHeight="true" outlineLevel="0" collapsed="false">
      <c r="A44" s="8" t="n">
        <v>40</v>
      </c>
      <c r="B44" s="6" t="s">
        <v>176</v>
      </c>
      <c r="C44" s="6" t="s">
        <v>177</v>
      </c>
      <c r="D44" s="6" t="s">
        <v>178</v>
      </c>
      <c r="E44" s="6" t="s">
        <v>329</v>
      </c>
      <c r="F44" s="6" t="s">
        <v>423</v>
      </c>
      <c r="G44" s="6" t="s">
        <v>424</v>
      </c>
      <c r="H44" s="6"/>
      <c r="I44" s="6"/>
      <c r="J44" s="6"/>
      <c r="K44" s="6" t="s">
        <v>187</v>
      </c>
      <c r="L44" s="9" t="s">
        <v>103</v>
      </c>
      <c r="M44" s="7" t="s">
        <v>425</v>
      </c>
      <c r="N44" s="7" t="s">
        <v>87</v>
      </c>
      <c r="O44" s="7" t="s">
        <v>88</v>
      </c>
    </row>
    <row r="45" customFormat="false" ht="21" hidden="false" customHeight="true" outlineLevel="0" collapsed="false">
      <c r="A45" s="8" t="n">
        <v>41</v>
      </c>
      <c r="B45" s="6" t="s">
        <v>176</v>
      </c>
      <c r="C45" s="6" t="s">
        <v>177</v>
      </c>
      <c r="D45" s="6" t="s">
        <v>178</v>
      </c>
      <c r="E45" s="6" t="s">
        <v>426</v>
      </c>
      <c r="F45" s="6" t="s">
        <v>427</v>
      </c>
      <c r="G45" s="6" t="s">
        <v>428</v>
      </c>
      <c r="H45" s="6"/>
      <c r="I45" s="6"/>
      <c r="J45" s="6"/>
      <c r="K45" s="6" t="s">
        <v>187</v>
      </c>
      <c r="L45" s="9" t="s">
        <v>103</v>
      </c>
      <c r="M45" s="7" t="s">
        <v>429</v>
      </c>
      <c r="N45" s="7" t="s">
        <v>87</v>
      </c>
      <c r="O45" s="7" t="s">
        <v>88</v>
      </c>
    </row>
    <row r="46" customFormat="false" ht="21" hidden="false" customHeight="true" outlineLevel="0" collapsed="false">
      <c r="A46" s="8" t="n">
        <v>42</v>
      </c>
      <c r="B46" s="6" t="s">
        <v>176</v>
      </c>
      <c r="C46" s="6" t="s">
        <v>177</v>
      </c>
      <c r="D46" s="6" t="s">
        <v>178</v>
      </c>
      <c r="E46" s="6" t="s">
        <v>301</v>
      </c>
      <c r="F46" s="6" t="s">
        <v>430</v>
      </c>
      <c r="G46" s="6" t="s">
        <v>431</v>
      </c>
      <c r="H46" s="6"/>
      <c r="I46" s="6"/>
      <c r="J46" s="6"/>
      <c r="K46" s="6" t="s">
        <v>187</v>
      </c>
      <c r="L46" s="9" t="s">
        <v>299</v>
      </c>
      <c r="M46" s="7" t="s">
        <v>432</v>
      </c>
      <c r="N46" s="7" t="s">
        <v>87</v>
      </c>
      <c r="O46" s="7" t="s">
        <v>88</v>
      </c>
    </row>
    <row r="47" customFormat="false" ht="21" hidden="false" customHeight="true" outlineLevel="0" collapsed="false">
      <c r="A47" s="8" t="n">
        <v>43</v>
      </c>
      <c r="B47" s="6" t="s">
        <v>176</v>
      </c>
      <c r="C47" s="6" t="s">
        <v>177</v>
      </c>
      <c r="D47" s="6" t="s">
        <v>178</v>
      </c>
      <c r="E47" s="6" t="s">
        <v>301</v>
      </c>
      <c r="F47" s="6" t="s">
        <v>433</v>
      </c>
      <c r="G47" s="6" t="s">
        <v>434</v>
      </c>
      <c r="H47" s="6"/>
      <c r="I47" s="6"/>
      <c r="J47" s="6"/>
      <c r="K47" s="6" t="s">
        <v>187</v>
      </c>
      <c r="L47" s="9" t="s">
        <v>299</v>
      </c>
      <c r="M47" s="7" t="s">
        <v>435</v>
      </c>
      <c r="N47" s="7" t="s">
        <v>87</v>
      </c>
      <c r="O47" s="7" t="s">
        <v>88</v>
      </c>
    </row>
    <row r="48" customFormat="false" ht="21" hidden="false" customHeight="true" outlineLevel="0" collapsed="false">
      <c r="A48" s="8" t="n">
        <v>44</v>
      </c>
      <c r="B48" s="6" t="s">
        <v>189</v>
      </c>
      <c r="C48" s="6" t="s">
        <v>190</v>
      </c>
      <c r="D48" s="6" t="s">
        <v>191</v>
      </c>
      <c r="E48" s="6" t="s">
        <v>329</v>
      </c>
      <c r="F48" s="6" t="s">
        <v>436</v>
      </c>
      <c r="G48" s="6" t="s">
        <v>437</v>
      </c>
      <c r="H48" s="6"/>
      <c r="I48" s="6"/>
      <c r="J48" s="6"/>
      <c r="K48" s="6" t="s">
        <v>200</v>
      </c>
      <c r="L48" s="9" t="s">
        <v>103</v>
      </c>
      <c r="M48" s="7" t="s">
        <v>438</v>
      </c>
      <c r="N48" s="7" t="s">
        <v>87</v>
      </c>
      <c r="O48" s="7" t="s">
        <v>88</v>
      </c>
    </row>
    <row r="49" customFormat="false" ht="21" hidden="false" customHeight="true" outlineLevel="0" collapsed="false">
      <c r="A49" s="8" t="n">
        <v>45</v>
      </c>
      <c r="B49" s="6" t="s">
        <v>189</v>
      </c>
      <c r="C49" s="6" t="s">
        <v>190</v>
      </c>
      <c r="D49" s="6" t="s">
        <v>191</v>
      </c>
      <c r="E49" s="6" t="s">
        <v>329</v>
      </c>
      <c r="F49" s="6" t="s">
        <v>439</v>
      </c>
      <c r="G49" s="6" t="s">
        <v>440</v>
      </c>
      <c r="H49" s="6"/>
      <c r="I49" s="6"/>
      <c r="J49" s="6"/>
      <c r="K49" s="6" t="s">
        <v>200</v>
      </c>
      <c r="L49" s="9" t="s">
        <v>103</v>
      </c>
      <c r="M49" s="7" t="s">
        <v>441</v>
      </c>
      <c r="N49" s="7" t="s">
        <v>87</v>
      </c>
      <c r="O49" s="7" t="s">
        <v>88</v>
      </c>
    </row>
    <row r="50" customFormat="false" ht="21" hidden="false" customHeight="true" outlineLevel="0" collapsed="false">
      <c r="A50" s="8" t="n">
        <v>46</v>
      </c>
      <c r="B50" s="6" t="s">
        <v>189</v>
      </c>
      <c r="C50" s="6" t="s">
        <v>190</v>
      </c>
      <c r="D50" s="6" t="s">
        <v>191</v>
      </c>
      <c r="E50" s="6" t="s">
        <v>329</v>
      </c>
      <c r="F50" s="6" t="s">
        <v>442</v>
      </c>
      <c r="G50" s="6" t="s">
        <v>443</v>
      </c>
      <c r="H50" s="6"/>
      <c r="I50" s="6"/>
      <c r="J50" s="6"/>
      <c r="K50" s="6" t="s">
        <v>200</v>
      </c>
      <c r="L50" s="9" t="s">
        <v>103</v>
      </c>
      <c r="M50" s="7" t="s">
        <v>444</v>
      </c>
      <c r="N50" s="7" t="s">
        <v>87</v>
      </c>
      <c r="O50" s="7" t="s">
        <v>88</v>
      </c>
    </row>
    <row r="51" customFormat="false" ht="21" hidden="false" customHeight="true" outlineLevel="0" collapsed="false">
      <c r="A51" s="8" t="n">
        <v>47</v>
      </c>
      <c r="B51" s="6" t="s">
        <v>189</v>
      </c>
      <c r="C51" s="6" t="s">
        <v>190</v>
      </c>
      <c r="D51" s="6" t="s">
        <v>191</v>
      </c>
      <c r="E51" s="6" t="s">
        <v>329</v>
      </c>
      <c r="F51" s="6" t="s">
        <v>445</v>
      </c>
      <c r="G51" s="6" t="s">
        <v>446</v>
      </c>
      <c r="H51" s="6"/>
      <c r="I51" s="6"/>
      <c r="J51" s="6"/>
      <c r="K51" s="6" t="s">
        <v>200</v>
      </c>
      <c r="L51" s="9" t="s">
        <v>103</v>
      </c>
      <c r="M51" s="7" t="s">
        <v>447</v>
      </c>
      <c r="N51" s="7" t="s">
        <v>87</v>
      </c>
      <c r="O51" s="7" t="s">
        <v>88</v>
      </c>
    </row>
    <row r="52" customFormat="false" ht="21" hidden="false" customHeight="true" outlineLevel="0" collapsed="false">
      <c r="A52" s="8" t="n">
        <v>48</v>
      </c>
      <c r="B52" s="6" t="s">
        <v>189</v>
      </c>
      <c r="C52" s="6" t="s">
        <v>190</v>
      </c>
      <c r="D52" s="6" t="s">
        <v>191</v>
      </c>
      <c r="E52" s="6" t="s">
        <v>301</v>
      </c>
      <c r="F52" s="6" t="s">
        <v>448</v>
      </c>
      <c r="G52" s="6" t="s">
        <v>449</v>
      </c>
      <c r="H52" s="6"/>
      <c r="I52" s="6"/>
      <c r="J52" s="6"/>
      <c r="K52" s="6" t="s">
        <v>200</v>
      </c>
      <c r="L52" s="9" t="s">
        <v>103</v>
      </c>
      <c r="M52" s="7" t="s">
        <v>450</v>
      </c>
      <c r="N52" s="7" t="s">
        <v>87</v>
      </c>
      <c r="O52" s="7" t="s">
        <v>88</v>
      </c>
    </row>
    <row r="53" customFormat="false" ht="21" hidden="false" customHeight="true" outlineLevel="0" collapsed="false">
      <c r="A53" s="8" t="n">
        <v>49</v>
      </c>
      <c r="B53" s="6" t="s">
        <v>189</v>
      </c>
      <c r="C53" s="6" t="s">
        <v>190</v>
      </c>
      <c r="D53" s="6" t="s">
        <v>191</v>
      </c>
      <c r="E53" s="6" t="s">
        <v>292</v>
      </c>
      <c r="F53" s="6" t="s">
        <v>451</v>
      </c>
      <c r="G53" s="6" t="s">
        <v>452</v>
      </c>
      <c r="H53" s="6"/>
      <c r="I53" s="6"/>
      <c r="J53" s="6"/>
      <c r="K53" s="6" t="s">
        <v>200</v>
      </c>
      <c r="L53" s="9" t="s">
        <v>103</v>
      </c>
      <c r="M53" s="7" t="s">
        <v>453</v>
      </c>
      <c r="N53" s="7" t="s">
        <v>87</v>
      </c>
      <c r="O53" s="7" t="s">
        <v>88</v>
      </c>
    </row>
    <row r="54" customFormat="false" ht="21" hidden="false" customHeight="true" outlineLevel="0" collapsed="false">
      <c r="A54" s="8" t="n">
        <v>50</v>
      </c>
      <c r="B54" s="6" t="s">
        <v>189</v>
      </c>
      <c r="C54" s="6" t="s">
        <v>190</v>
      </c>
      <c r="D54" s="6" t="s">
        <v>191</v>
      </c>
      <c r="E54" s="6" t="s">
        <v>292</v>
      </c>
      <c r="F54" s="6" t="s">
        <v>454</v>
      </c>
      <c r="G54" s="6" t="s">
        <v>455</v>
      </c>
      <c r="H54" s="6"/>
      <c r="I54" s="6"/>
      <c r="J54" s="6"/>
      <c r="K54" s="6" t="s">
        <v>200</v>
      </c>
      <c r="L54" s="9" t="s">
        <v>103</v>
      </c>
      <c r="M54" s="7" t="s">
        <v>456</v>
      </c>
      <c r="N54" s="7" t="s">
        <v>87</v>
      </c>
      <c r="O54" s="7" t="s">
        <v>88</v>
      </c>
    </row>
    <row r="55" customFormat="false" ht="21" hidden="false" customHeight="true" outlineLevel="0" collapsed="false">
      <c r="A55" s="8" t="n">
        <v>51</v>
      </c>
      <c r="B55" s="6" t="s">
        <v>189</v>
      </c>
      <c r="C55" s="6" t="s">
        <v>190</v>
      </c>
      <c r="D55" s="6" t="s">
        <v>191</v>
      </c>
      <c r="E55" s="6" t="s">
        <v>292</v>
      </c>
      <c r="F55" s="6" t="s">
        <v>457</v>
      </c>
      <c r="G55" s="6" t="s">
        <v>458</v>
      </c>
      <c r="H55" s="6"/>
      <c r="I55" s="6"/>
      <c r="J55" s="6"/>
      <c r="K55" s="6" t="s">
        <v>200</v>
      </c>
      <c r="L55" s="9" t="s">
        <v>103</v>
      </c>
      <c r="M55" s="7" t="s">
        <v>459</v>
      </c>
      <c r="N55" s="7" t="s">
        <v>87</v>
      </c>
      <c r="O55" s="7" t="s">
        <v>88</v>
      </c>
    </row>
    <row r="56" customFormat="false" ht="21" hidden="false" customHeight="true" outlineLevel="0" collapsed="false">
      <c r="A56" s="8" t="n">
        <v>52</v>
      </c>
      <c r="B56" s="6" t="s">
        <v>202</v>
      </c>
      <c r="C56" s="6" t="s">
        <v>203</v>
      </c>
      <c r="D56" s="6" t="s">
        <v>204</v>
      </c>
      <c r="E56" s="6" t="s">
        <v>329</v>
      </c>
      <c r="F56" s="6" t="s">
        <v>333</v>
      </c>
      <c r="G56" s="6" t="s">
        <v>460</v>
      </c>
      <c r="H56" s="6"/>
      <c r="I56" s="6"/>
      <c r="J56" s="6"/>
      <c r="K56" s="6" t="s">
        <v>212</v>
      </c>
      <c r="L56" s="9" t="s">
        <v>103</v>
      </c>
      <c r="M56" s="7" t="s">
        <v>461</v>
      </c>
      <c r="N56" s="7" t="s">
        <v>87</v>
      </c>
      <c r="O56" s="7" t="s">
        <v>88</v>
      </c>
    </row>
    <row r="57" customFormat="false" ht="21" hidden="false" customHeight="true" outlineLevel="0" collapsed="false">
      <c r="A57" s="8" t="n">
        <v>53</v>
      </c>
      <c r="B57" s="6" t="s">
        <v>202</v>
      </c>
      <c r="C57" s="6" t="s">
        <v>203</v>
      </c>
      <c r="D57" s="6" t="s">
        <v>204</v>
      </c>
      <c r="E57" s="6" t="s">
        <v>329</v>
      </c>
      <c r="F57" s="6" t="s">
        <v>336</v>
      </c>
      <c r="G57" s="6" t="s">
        <v>462</v>
      </c>
      <c r="H57" s="6"/>
      <c r="I57" s="6"/>
      <c r="J57" s="6"/>
      <c r="K57" s="6" t="s">
        <v>212</v>
      </c>
      <c r="L57" s="9" t="s">
        <v>103</v>
      </c>
      <c r="M57" s="7" t="s">
        <v>463</v>
      </c>
      <c r="N57" s="7" t="s">
        <v>87</v>
      </c>
      <c r="O57" s="7" t="s">
        <v>88</v>
      </c>
    </row>
    <row r="58" customFormat="false" ht="21" hidden="false" customHeight="true" outlineLevel="0" collapsed="false">
      <c r="A58" s="8" t="n">
        <v>54</v>
      </c>
      <c r="B58" s="6" t="s">
        <v>202</v>
      </c>
      <c r="C58" s="6" t="s">
        <v>203</v>
      </c>
      <c r="D58" s="6" t="s">
        <v>204</v>
      </c>
      <c r="E58" s="6" t="s">
        <v>329</v>
      </c>
      <c r="F58" s="6" t="s">
        <v>464</v>
      </c>
      <c r="G58" s="6" t="s">
        <v>465</v>
      </c>
      <c r="H58" s="6"/>
      <c r="I58" s="6"/>
      <c r="J58" s="6"/>
      <c r="K58" s="6" t="s">
        <v>212</v>
      </c>
      <c r="L58" s="9" t="s">
        <v>299</v>
      </c>
      <c r="M58" s="7" t="s">
        <v>466</v>
      </c>
      <c r="N58" s="7" t="s">
        <v>87</v>
      </c>
      <c r="O58" s="7" t="s">
        <v>88</v>
      </c>
    </row>
    <row r="59" customFormat="false" ht="21" hidden="false" customHeight="true" outlineLevel="0" collapsed="false">
      <c r="A59" s="8" t="n">
        <v>55</v>
      </c>
      <c r="B59" s="6" t="s">
        <v>202</v>
      </c>
      <c r="C59" s="6" t="s">
        <v>203</v>
      </c>
      <c r="D59" s="6" t="s">
        <v>204</v>
      </c>
      <c r="E59" s="6" t="s">
        <v>329</v>
      </c>
      <c r="F59" s="6" t="s">
        <v>467</v>
      </c>
      <c r="G59" s="6" t="s">
        <v>468</v>
      </c>
      <c r="H59" s="6"/>
      <c r="I59" s="6"/>
      <c r="J59" s="6"/>
      <c r="K59" s="6" t="s">
        <v>212</v>
      </c>
      <c r="L59" s="9" t="s">
        <v>299</v>
      </c>
      <c r="M59" s="7" t="s">
        <v>469</v>
      </c>
      <c r="N59" s="7" t="s">
        <v>87</v>
      </c>
      <c r="O59" s="7" t="s">
        <v>88</v>
      </c>
    </row>
    <row r="60" customFormat="false" ht="21" hidden="false" customHeight="true" outlineLevel="0" collapsed="false">
      <c r="A60" s="8" t="n">
        <v>56</v>
      </c>
      <c r="B60" s="6" t="s">
        <v>202</v>
      </c>
      <c r="C60" s="6" t="s">
        <v>203</v>
      </c>
      <c r="D60" s="6" t="s">
        <v>204</v>
      </c>
      <c r="E60" s="6" t="s">
        <v>470</v>
      </c>
      <c r="F60" s="6" t="s">
        <v>471</v>
      </c>
      <c r="G60" s="6" t="s">
        <v>472</v>
      </c>
      <c r="H60" s="6" t="s">
        <v>473</v>
      </c>
      <c r="I60" s="6"/>
      <c r="J60" s="6"/>
      <c r="K60" s="6" t="s">
        <v>212</v>
      </c>
      <c r="L60" s="9" t="s">
        <v>103</v>
      </c>
      <c r="M60" s="7" t="s">
        <v>474</v>
      </c>
      <c r="N60" s="7" t="s">
        <v>87</v>
      </c>
      <c r="O60" s="7" t="s">
        <v>88</v>
      </c>
    </row>
    <row r="61" customFormat="false" ht="21" hidden="false" customHeight="true" outlineLevel="0" collapsed="false">
      <c r="A61" s="8" t="n">
        <v>57</v>
      </c>
      <c r="B61" s="6" t="s">
        <v>202</v>
      </c>
      <c r="C61" s="6" t="s">
        <v>203</v>
      </c>
      <c r="D61" s="6" t="s">
        <v>204</v>
      </c>
      <c r="E61" s="6" t="s">
        <v>301</v>
      </c>
      <c r="F61" s="6" t="s">
        <v>475</v>
      </c>
      <c r="G61" s="6" t="s">
        <v>476</v>
      </c>
      <c r="H61" s="6" t="s">
        <v>473</v>
      </c>
      <c r="I61" s="6"/>
      <c r="J61" s="6" t="s">
        <v>477</v>
      </c>
      <c r="K61" s="6" t="s">
        <v>212</v>
      </c>
      <c r="L61" s="9" t="s">
        <v>103</v>
      </c>
      <c r="M61" s="7" t="s">
        <v>478</v>
      </c>
      <c r="N61" s="7" t="s">
        <v>87</v>
      </c>
      <c r="O61" s="7" t="s">
        <v>88</v>
      </c>
    </row>
    <row r="62" customFormat="false" ht="21" hidden="false" customHeight="true" outlineLevel="0" collapsed="false">
      <c r="A62" s="8" t="n">
        <v>58</v>
      </c>
      <c r="B62" s="6" t="s">
        <v>214</v>
      </c>
      <c r="C62" s="6" t="s">
        <v>215</v>
      </c>
      <c r="D62" s="6" t="s">
        <v>216</v>
      </c>
      <c r="E62" s="6" t="s">
        <v>479</v>
      </c>
      <c r="F62" s="6" t="s">
        <v>480</v>
      </c>
      <c r="G62" s="6" t="s">
        <v>481</v>
      </c>
      <c r="H62" s="6"/>
      <c r="I62" s="6"/>
      <c r="J62" s="6"/>
      <c r="K62" s="6" t="s">
        <v>224</v>
      </c>
      <c r="L62" s="9" t="s">
        <v>103</v>
      </c>
      <c r="M62" s="7" t="s">
        <v>482</v>
      </c>
      <c r="N62" s="7" t="s">
        <v>87</v>
      </c>
      <c r="O62" s="7" t="s">
        <v>88</v>
      </c>
    </row>
    <row r="63" customFormat="false" ht="21" hidden="false" customHeight="true" outlineLevel="0" collapsed="false">
      <c r="A63" s="8" t="n">
        <v>59</v>
      </c>
      <c r="B63" s="6" t="s">
        <v>214</v>
      </c>
      <c r="C63" s="6" t="s">
        <v>215</v>
      </c>
      <c r="D63" s="6" t="s">
        <v>216</v>
      </c>
      <c r="E63" s="6" t="s">
        <v>479</v>
      </c>
      <c r="F63" s="6" t="s">
        <v>483</v>
      </c>
      <c r="G63" s="6" t="s">
        <v>484</v>
      </c>
      <c r="H63" s="6"/>
      <c r="I63" s="6"/>
      <c r="J63" s="6"/>
      <c r="K63" s="6" t="s">
        <v>224</v>
      </c>
      <c r="L63" s="9" t="s">
        <v>103</v>
      </c>
      <c r="M63" s="7" t="s">
        <v>485</v>
      </c>
      <c r="N63" s="7" t="s">
        <v>87</v>
      </c>
      <c r="O63" s="7" t="s">
        <v>88</v>
      </c>
    </row>
    <row r="64" customFormat="false" ht="21" hidden="false" customHeight="true" outlineLevel="0" collapsed="false">
      <c r="A64" s="8" t="n">
        <v>60</v>
      </c>
      <c r="B64" s="6" t="s">
        <v>214</v>
      </c>
      <c r="C64" s="6" t="s">
        <v>215</v>
      </c>
      <c r="D64" s="6" t="s">
        <v>216</v>
      </c>
      <c r="E64" s="6" t="s">
        <v>479</v>
      </c>
      <c r="F64" s="6" t="s">
        <v>486</v>
      </c>
      <c r="G64" s="6" t="s">
        <v>487</v>
      </c>
      <c r="H64" s="6"/>
      <c r="I64" s="6"/>
      <c r="J64" s="6"/>
      <c r="K64" s="6" t="s">
        <v>224</v>
      </c>
      <c r="L64" s="9" t="s">
        <v>103</v>
      </c>
      <c r="M64" s="7" t="s">
        <v>488</v>
      </c>
      <c r="N64" s="7" t="s">
        <v>87</v>
      </c>
      <c r="O64" s="7" t="s">
        <v>88</v>
      </c>
    </row>
    <row r="65" customFormat="false" ht="21" hidden="false" customHeight="true" outlineLevel="0" collapsed="false">
      <c r="A65" s="8" t="n">
        <v>61</v>
      </c>
      <c r="B65" s="6" t="s">
        <v>214</v>
      </c>
      <c r="C65" s="6" t="s">
        <v>215</v>
      </c>
      <c r="D65" s="6" t="s">
        <v>216</v>
      </c>
      <c r="E65" s="6" t="s">
        <v>479</v>
      </c>
      <c r="F65" s="6" t="s">
        <v>489</v>
      </c>
      <c r="G65" s="6" t="s">
        <v>490</v>
      </c>
      <c r="H65" s="6"/>
      <c r="I65" s="6"/>
      <c r="J65" s="6"/>
      <c r="K65" s="6" t="s">
        <v>224</v>
      </c>
      <c r="L65" s="9" t="s">
        <v>103</v>
      </c>
      <c r="M65" s="7" t="s">
        <v>491</v>
      </c>
      <c r="N65" s="7" t="s">
        <v>87</v>
      </c>
      <c r="O65" s="7" t="s">
        <v>88</v>
      </c>
    </row>
    <row r="66" customFormat="false" ht="21" hidden="false" customHeight="true" outlineLevel="0" collapsed="false">
      <c r="A66" s="8" t="n">
        <v>62</v>
      </c>
      <c r="B66" s="6" t="s">
        <v>214</v>
      </c>
      <c r="C66" s="6" t="s">
        <v>215</v>
      </c>
      <c r="D66" s="6" t="s">
        <v>216</v>
      </c>
      <c r="E66" s="6" t="s">
        <v>479</v>
      </c>
      <c r="F66" s="6" t="s">
        <v>492</v>
      </c>
      <c r="G66" s="6" t="s">
        <v>493</v>
      </c>
      <c r="H66" s="6"/>
      <c r="I66" s="6"/>
      <c r="J66" s="6"/>
      <c r="K66" s="6" t="s">
        <v>224</v>
      </c>
      <c r="L66" s="9" t="s">
        <v>103</v>
      </c>
      <c r="M66" s="7" t="s">
        <v>494</v>
      </c>
      <c r="N66" s="7" t="s">
        <v>87</v>
      </c>
      <c r="O66" s="7" t="s">
        <v>88</v>
      </c>
    </row>
    <row r="67" customFormat="false" ht="21" hidden="false" customHeight="true" outlineLevel="0" collapsed="false">
      <c r="A67" s="8" t="n">
        <v>63</v>
      </c>
      <c r="B67" s="6" t="s">
        <v>214</v>
      </c>
      <c r="C67" s="6" t="s">
        <v>215</v>
      </c>
      <c r="D67" s="6" t="s">
        <v>216</v>
      </c>
      <c r="E67" s="6" t="s">
        <v>479</v>
      </c>
      <c r="F67" s="6" t="s">
        <v>495</v>
      </c>
      <c r="G67" s="6" t="s">
        <v>496</v>
      </c>
      <c r="H67" s="6"/>
      <c r="I67" s="6"/>
      <c r="J67" s="6"/>
      <c r="K67" s="6" t="s">
        <v>224</v>
      </c>
      <c r="L67" s="9" t="s">
        <v>103</v>
      </c>
      <c r="M67" s="7" t="s">
        <v>497</v>
      </c>
      <c r="N67" s="7" t="s">
        <v>87</v>
      </c>
      <c r="O67" s="7" t="s">
        <v>88</v>
      </c>
    </row>
    <row r="68" customFormat="false" ht="21" hidden="false" customHeight="true" outlineLevel="0" collapsed="false">
      <c r="A68" s="8" t="n">
        <v>64</v>
      </c>
      <c r="B68" s="6" t="s">
        <v>214</v>
      </c>
      <c r="C68" s="6" t="s">
        <v>215</v>
      </c>
      <c r="D68" s="6" t="s">
        <v>216</v>
      </c>
      <c r="E68" s="6" t="s">
        <v>479</v>
      </c>
      <c r="F68" s="6" t="s">
        <v>498</v>
      </c>
      <c r="G68" s="6" t="s">
        <v>446</v>
      </c>
      <c r="H68" s="6"/>
      <c r="I68" s="6"/>
      <c r="J68" s="6"/>
      <c r="K68" s="6" t="s">
        <v>224</v>
      </c>
      <c r="L68" s="9" t="s">
        <v>103</v>
      </c>
      <c r="M68" s="7" t="s">
        <v>499</v>
      </c>
      <c r="N68" s="7" t="s">
        <v>87</v>
      </c>
      <c r="O68" s="7" t="s">
        <v>88</v>
      </c>
    </row>
    <row r="69" customFormat="false" ht="21" hidden="false" customHeight="true" outlineLevel="0" collapsed="false">
      <c r="A69" s="8" t="n">
        <v>65</v>
      </c>
      <c r="B69" s="6" t="s">
        <v>226</v>
      </c>
      <c r="C69" s="6" t="s">
        <v>227</v>
      </c>
      <c r="D69" s="6" t="s">
        <v>228</v>
      </c>
      <c r="E69" s="6" t="s">
        <v>329</v>
      </c>
      <c r="F69" s="6" t="s">
        <v>333</v>
      </c>
      <c r="G69" s="6" t="s">
        <v>500</v>
      </c>
      <c r="H69" s="6"/>
      <c r="I69" s="6"/>
      <c r="J69" s="6"/>
      <c r="K69" s="6" t="s">
        <v>236</v>
      </c>
      <c r="L69" s="9" t="s">
        <v>120</v>
      </c>
      <c r="M69" s="7" t="s">
        <v>501</v>
      </c>
      <c r="N69" s="7" t="s">
        <v>87</v>
      </c>
      <c r="O69" s="7" t="s">
        <v>88</v>
      </c>
    </row>
    <row r="70" customFormat="false" ht="21" hidden="false" customHeight="true" outlineLevel="0" collapsed="false">
      <c r="A70" s="8" t="n">
        <v>66</v>
      </c>
      <c r="B70" s="6" t="s">
        <v>226</v>
      </c>
      <c r="C70" s="6" t="s">
        <v>227</v>
      </c>
      <c r="D70" s="6" t="s">
        <v>228</v>
      </c>
      <c r="E70" s="6" t="s">
        <v>329</v>
      </c>
      <c r="F70" s="6" t="s">
        <v>336</v>
      </c>
      <c r="G70" s="6" t="s">
        <v>502</v>
      </c>
      <c r="H70" s="6"/>
      <c r="I70" s="6"/>
      <c r="J70" s="6"/>
      <c r="K70" s="6" t="s">
        <v>236</v>
      </c>
      <c r="L70" s="9" t="s">
        <v>103</v>
      </c>
      <c r="M70" s="7" t="s">
        <v>503</v>
      </c>
      <c r="N70" s="7" t="s">
        <v>87</v>
      </c>
      <c r="O70" s="7" t="s">
        <v>88</v>
      </c>
    </row>
    <row r="71" customFormat="false" ht="21" hidden="false" customHeight="true" outlineLevel="0" collapsed="false">
      <c r="A71" s="8" t="n">
        <v>67</v>
      </c>
      <c r="B71" s="6" t="s">
        <v>226</v>
      </c>
      <c r="C71" s="6" t="s">
        <v>227</v>
      </c>
      <c r="D71" s="6" t="s">
        <v>228</v>
      </c>
      <c r="E71" s="6" t="s">
        <v>329</v>
      </c>
      <c r="F71" s="6" t="s">
        <v>467</v>
      </c>
      <c r="G71" s="6" t="s">
        <v>504</v>
      </c>
      <c r="H71" s="6"/>
      <c r="I71" s="6"/>
      <c r="J71" s="6"/>
      <c r="K71" s="6" t="s">
        <v>236</v>
      </c>
      <c r="L71" s="9" t="s">
        <v>103</v>
      </c>
      <c r="M71" s="7" t="s">
        <v>505</v>
      </c>
      <c r="N71" s="7" t="s">
        <v>87</v>
      </c>
      <c r="O71" s="7" t="s">
        <v>88</v>
      </c>
    </row>
    <row r="72" customFormat="false" ht="21" hidden="false" customHeight="true" outlineLevel="0" collapsed="false">
      <c r="A72" s="8" t="n">
        <v>68</v>
      </c>
      <c r="B72" s="6" t="s">
        <v>226</v>
      </c>
      <c r="C72" s="6" t="s">
        <v>227</v>
      </c>
      <c r="D72" s="6" t="s">
        <v>228</v>
      </c>
      <c r="E72" s="6" t="s">
        <v>329</v>
      </c>
      <c r="F72" s="6" t="s">
        <v>506</v>
      </c>
      <c r="G72" s="6" t="s">
        <v>507</v>
      </c>
      <c r="H72" s="6"/>
      <c r="I72" s="6"/>
      <c r="J72" s="6"/>
      <c r="K72" s="6" t="s">
        <v>236</v>
      </c>
      <c r="L72" s="9" t="s">
        <v>103</v>
      </c>
      <c r="M72" s="7" t="s">
        <v>508</v>
      </c>
      <c r="N72" s="7" t="s">
        <v>87</v>
      </c>
      <c r="O72" s="7" t="s">
        <v>88</v>
      </c>
    </row>
    <row r="73" customFormat="false" ht="21" hidden="false" customHeight="true" outlineLevel="0" collapsed="false">
      <c r="A73" s="8" t="n">
        <v>69</v>
      </c>
      <c r="B73" s="6" t="s">
        <v>226</v>
      </c>
      <c r="C73" s="6" t="s">
        <v>227</v>
      </c>
      <c r="D73" s="6" t="s">
        <v>228</v>
      </c>
      <c r="E73" s="6" t="s">
        <v>509</v>
      </c>
      <c r="F73" s="6" t="s">
        <v>510</v>
      </c>
      <c r="G73" s="6" t="s">
        <v>511</v>
      </c>
      <c r="H73" s="6"/>
      <c r="I73" s="6"/>
      <c r="J73" s="6"/>
      <c r="K73" s="6" t="s">
        <v>236</v>
      </c>
      <c r="L73" s="9" t="s">
        <v>103</v>
      </c>
      <c r="M73" s="7" t="s">
        <v>512</v>
      </c>
      <c r="N73" s="7" t="s">
        <v>87</v>
      </c>
      <c r="O73" s="7" t="s">
        <v>88</v>
      </c>
    </row>
    <row r="74" customFormat="false" ht="32.25" hidden="false" customHeight="true" outlineLevel="0" collapsed="false">
      <c r="A74" s="8" t="n">
        <v>70</v>
      </c>
      <c r="B74" s="6" t="s">
        <v>238</v>
      </c>
      <c r="C74" s="6" t="s">
        <v>239</v>
      </c>
      <c r="D74" s="6" t="s">
        <v>240</v>
      </c>
      <c r="E74" s="6" t="s">
        <v>513</v>
      </c>
      <c r="F74" s="6" t="s">
        <v>514</v>
      </c>
      <c r="G74" s="6" t="s">
        <v>515</v>
      </c>
      <c r="H74" s="6"/>
      <c r="I74" s="6"/>
      <c r="J74" s="6"/>
      <c r="K74" s="6" t="s">
        <v>248</v>
      </c>
      <c r="L74" s="9" t="s">
        <v>103</v>
      </c>
      <c r="M74" s="7" t="s">
        <v>516</v>
      </c>
      <c r="N74" s="7" t="s">
        <v>87</v>
      </c>
      <c r="O74" s="7" t="s">
        <v>88</v>
      </c>
    </row>
    <row r="75" customFormat="false" ht="32.25" hidden="false" customHeight="true" outlineLevel="0" collapsed="false">
      <c r="A75" s="8" t="n">
        <v>71</v>
      </c>
      <c r="B75" s="6" t="s">
        <v>238</v>
      </c>
      <c r="C75" s="6" t="s">
        <v>239</v>
      </c>
      <c r="D75" s="6" t="s">
        <v>240</v>
      </c>
      <c r="E75" s="6" t="s">
        <v>513</v>
      </c>
      <c r="F75" s="6" t="s">
        <v>517</v>
      </c>
      <c r="G75" s="6" t="s">
        <v>518</v>
      </c>
      <c r="H75" s="6"/>
      <c r="I75" s="6"/>
      <c r="J75" s="6"/>
      <c r="K75" s="6" t="s">
        <v>248</v>
      </c>
      <c r="L75" s="9" t="s">
        <v>103</v>
      </c>
      <c r="M75" s="7" t="s">
        <v>519</v>
      </c>
      <c r="N75" s="7" t="s">
        <v>87</v>
      </c>
      <c r="O75" s="7" t="s">
        <v>88</v>
      </c>
    </row>
    <row r="76" customFormat="false" ht="32.25" hidden="false" customHeight="true" outlineLevel="0" collapsed="false">
      <c r="A76" s="8" t="n">
        <v>72</v>
      </c>
      <c r="B76" s="6" t="s">
        <v>238</v>
      </c>
      <c r="C76" s="6" t="s">
        <v>239</v>
      </c>
      <c r="D76" s="6" t="s">
        <v>240</v>
      </c>
      <c r="E76" s="6" t="s">
        <v>513</v>
      </c>
      <c r="F76" s="6" t="s">
        <v>520</v>
      </c>
      <c r="G76" s="6" t="s">
        <v>521</v>
      </c>
      <c r="H76" s="6"/>
      <c r="I76" s="6"/>
      <c r="J76" s="6"/>
      <c r="K76" s="6" t="s">
        <v>248</v>
      </c>
      <c r="L76" s="9" t="s">
        <v>103</v>
      </c>
      <c r="M76" s="7" t="s">
        <v>522</v>
      </c>
      <c r="N76" s="7" t="s">
        <v>87</v>
      </c>
      <c r="O76" s="7" t="s">
        <v>88</v>
      </c>
    </row>
    <row r="77" customFormat="false" ht="32.25" hidden="false" customHeight="true" outlineLevel="0" collapsed="false">
      <c r="A77" s="8" t="n">
        <v>73</v>
      </c>
      <c r="B77" s="6" t="s">
        <v>238</v>
      </c>
      <c r="C77" s="6" t="s">
        <v>239</v>
      </c>
      <c r="D77" s="6" t="s">
        <v>240</v>
      </c>
      <c r="E77" s="6" t="s">
        <v>513</v>
      </c>
      <c r="F77" s="6" t="s">
        <v>523</v>
      </c>
      <c r="G77" s="6" t="s">
        <v>524</v>
      </c>
      <c r="H77" s="6"/>
      <c r="I77" s="6"/>
      <c r="J77" s="6"/>
      <c r="K77" s="6" t="s">
        <v>248</v>
      </c>
      <c r="L77" s="9" t="s">
        <v>103</v>
      </c>
      <c r="M77" s="7" t="s">
        <v>525</v>
      </c>
      <c r="N77" s="7" t="s">
        <v>87</v>
      </c>
      <c r="O77" s="7" t="s">
        <v>88</v>
      </c>
    </row>
    <row r="78" customFormat="false" ht="32.25" hidden="false" customHeight="true" outlineLevel="0" collapsed="false">
      <c r="A78" s="8" t="n">
        <v>74</v>
      </c>
      <c r="B78" s="6" t="s">
        <v>238</v>
      </c>
      <c r="C78" s="6" t="s">
        <v>239</v>
      </c>
      <c r="D78" s="6" t="s">
        <v>240</v>
      </c>
      <c r="E78" s="6" t="s">
        <v>513</v>
      </c>
      <c r="F78" s="6" t="s">
        <v>526</v>
      </c>
      <c r="G78" s="6" t="s">
        <v>527</v>
      </c>
      <c r="H78" s="6"/>
      <c r="I78" s="6"/>
      <c r="J78" s="6"/>
      <c r="K78" s="6" t="s">
        <v>248</v>
      </c>
      <c r="L78" s="9" t="s">
        <v>103</v>
      </c>
      <c r="M78" s="7" t="s">
        <v>528</v>
      </c>
      <c r="N78" s="7" t="s">
        <v>87</v>
      </c>
      <c r="O78" s="7" t="s">
        <v>88</v>
      </c>
    </row>
    <row r="79" customFormat="false" ht="21" hidden="false" customHeight="true" outlineLevel="0" collapsed="false">
      <c r="A79" s="8" t="n">
        <v>75</v>
      </c>
      <c r="B79" s="6" t="s">
        <v>250</v>
      </c>
      <c r="C79" s="6" t="s">
        <v>251</v>
      </c>
      <c r="D79" s="6" t="s">
        <v>252</v>
      </c>
      <c r="E79" s="6" t="s">
        <v>329</v>
      </c>
      <c r="F79" s="6" t="s">
        <v>529</v>
      </c>
      <c r="G79" s="6" t="s">
        <v>530</v>
      </c>
      <c r="H79" s="6"/>
      <c r="I79" s="6"/>
      <c r="J79" s="6"/>
      <c r="K79" s="6" t="s">
        <v>259</v>
      </c>
      <c r="L79" s="9" t="s">
        <v>103</v>
      </c>
      <c r="M79" s="7" t="s">
        <v>531</v>
      </c>
      <c r="N79" s="7" t="s">
        <v>87</v>
      </c>
      <c r="O79" s="7" t="s">
        <v>88</v>
      </c>
    </row>
    <row r="80" customFormat="false" ht="21" hidden="false" customHeight="true" outlineLevel="0" collapsed="false">
      <c r="A80" s="8" t="n">
        <v>76</v>
      </c>
      <c r="B80" s="6" t="s">
        <v>250</v>
      </c>
      <c r="C80" s="6" t="s">
        <v>251</v>
      </c>
      <c r="D80" s="6" t="s">
        <v>252</v>
      </c>
      <c r="E80" s="6" t="s">
        <v>329</v>
      </c>
      <c r="F80" s="6" t="s">
        <v>532</v>
      </c>
      <c r="G80" s="6" t="s">
        <v>533</v>
      </c>
      <c r="H80" s="6"/>
      <c r="I80" s="6"/>
      <c r="J80" s="6"/>
      <c r="K80" s="6" t="s">
        <v>259</v>
      </c>
      <c r="L80" s="9" t="s">
        <v>103</v>
      </c>
      <c r="M80" s="7" t="s">
        <v>534</v>
      </c>
      <c r="N80" s="7" t="s">
        <v>87</v>
      </c>
      <c r="O80" s="7" t="s">
        <v>88</v>
      </c>
    </row>
    <row r="81" customFormat="false" ht="21" hidden="false" customHeight="true" outlineLevel="0" collapsed="false">
      <c r="A81" s="8" t="n">
        <v>77</v>
      </c>
      <c r="B81" s="6" t="s">
        <v>250</v>
      </c>
      <c r="C81" s="6" t="s">
        <v>251</v>
      </c>
      <c r="D81" s="6" t="s">
        <v>252</v>
      </c>
      <c r="E81" s="6" t="s">
        <v>329</v>
      </c>
      <c r="F81" s="6" t="s">
        <v>535</v>
      </c>
      <c r="G81" s="6" t="s">
        <v>536</v>
      </c>
      <c r="H81" s="6"/>
      <c r="I81" s="6"/>
      <c r="J81" s="6"/>
      <c r="K81" s="6" t="s">
        <v>259</v>
      </c>
      <c r="L81" s="9" t="s">
        <v>103</v>
      </c>
      <c r="M81" s="7" t="s">
        <v>537</v>
      </c>
      <c r="N81" s="7" t="s">
        <v>87</v>
      </c>
      <c r="O81" s="7" t="s">
        <v>88</v>
      </c>
    </row>
    <row r="82" customFormat="false" ht="21" hidden="false" customHeight="true" outlineLevel="0" collapsed="false">
      <c r="A82" s="8" t="n">
        <v>78</v>
      </c>
      <c r="B82" s="6" t="s">
        <v>250</v>
      </c>
      <c r="C82" s="6" t="s">
        <v>251</v>
      </c>
      <c r="D82" s="6" t="s">
        <v>252</v>
      </c>
      <c r="E82" s="6" t="s">
        <v>329</v>
      </c>
      <c r="F82" s="6" t="s">
        <v>538</v>
      </c>
      <c r="G82" s="6" t="s">
        <v>539</v>
      </c>
      <c r="H82" s="6"/>
      <c r="I82" s="6"/>
      <c r="J82" s="6"/>
      <c r="K82" s="6" t="s">
        <v>259</v>
      </c>
      <c r="L82" s="9" t="s">
        <v>103</v>
      </c>
      <c r="M82" s="7" t="s">
        <v>540</v>
      </c>
      <c r="N82" s="7" t="s">
        <v>87</v>
      </c>
      <c r="O82" s="7" t="s">
        <v>88</v>
      </c>
    </row>
    <row r="83" customFormat="false" ht="21" hidden="false" customHeight="true" outlineLevel="0" collapsed="false">
      <c r="A83" s="8" t="n">
        <v>79</v>
      </c>
      <c r="B83" s="6" t="s">
        <v>250</v>
      </c>
      <c r="C83" s="6" t="s">
        <v>251</v>
      </c>
      <c r="D83" s="6" t="s">
        <v>252</v>
      </c>
      <c r="E83" s="6" t="s">
        <v>301</v>
      </c>
      <c r="F83" s="6" t="s">
        <v>541</v>
      </c>
      <c r="G83" s="6" t="s">
        <v>542</v>
      </c>
      <c r="H83" s="6"/>
      <c r="I83" s="6"/>
      <c r="J83" s="6"/>
      <c r="K83" s="6" t="s">
        <v>259</v>
      </c>
      <c r="L83" s="9" t="s">
        <v>103</v>
      </c>
      <c r="M83" s="7" t="s">
        <v>543</v>
      </c>
      <c r="N83" s="7" t="s">
        <v>87</v>
      </c>
      <c r="O83" s="7" t="s">
        <v>88</v>
      </c>
    </row>
    <row r="84" customFormat="false" ht="32.25" hidden="false" customHeight="true" outlineLevel="0" collapsed="false">
      <c r="A84" s="8" t="n">
        <v>80</v>
      </c>
      <c r="B84" s="6" t="s">
        <v>261</v>
      </c>
      <c r="C84" s="6" t="s">
        <v>262</v>
      </c>
      <c r="D84" s="6" t="s">
        <v>263</v>
      </c>
      <c r="E84" s="6" t="s">
        <v>513</v>
      </c>
      <c r="F84" s="6" t="s">
        <v>544</v>
      </c>
      <c r="G84" s="6" t="s">
        <v>545</v>
      </c>
      <c r="H84" s="6"/>
      <c r="I84" s="6"/>
      <c r="J84" s="6"/>
      <c r="K84" s="6" t="s">
        <v>271</v>
      </c>
      <c r="L84" s="9" t="s">
        <v>103</v>
      </c>
      <c r="M84" s="7" t="s">
        <v>546</v>
      </c>
      <c r="N84" s="7" t="s">
        <v>87</v>
      </c>
      <c r="O84" s="7" t="s">
        <v>88</v>
      </c>
    </row>
    <row r="85" customFormat="false" ht="32.25" hidden="false" customHeight="true" outlineLevel="0" collapsed="false">
      <c r="A85" s="8" t="n">
        <v>81</v>
      </c>
      <c r="B85" s="6" t="s">
        <v>261</v>
      </c>
      <c r="C85" s="6" t="s">
        <v>262</v>
      </c>
      <c r="D85" s="6" t="s">
        <v>263</v>
      </c>
      <c r="E85" s="6" t="s">
        <v>301</v>
      </c>
      <c r="F85" s="6" t="s">
        <v>547</v>
      </c>
      <c r="G85" s="6" t="s">
        <v>548</v>
      </c>
      <c r="H85" s="6"/>
      <c r="I85" s="6"/>
      <c r="J85" s="6"/>
      <c r="K85" s="6" t="s">
        <v>271</v>
      </c>
      <c r="L85" s="9" t="s">
        <v>103</v>
      </c>
      <c r="M85" s="7" t="s">
        <v>549</v>
      </c>
      <c r="N85" s="7" t="s">
        <v>87</v>
      </c>
      <c r="O85" s="7" t="s">
        <v>88</v>
      </c>
    </row>
    <row r="86" customFormat="false" ht="32.25" hidden="false" customHeight="true" outlineLevel="0" collapsed="false">
      <c r="A86" s="8" t="n">
        <v>82</v>
      </c>
      <c r="B86" s="6" t="s">
        <v>273</v>
      </c>
      <c r="C86" s="6" t="s">
        <v>274</v>
      </c>
      <c r="D86" s="6" t="s">
        <v>275</v>
      </c>
      <c r="E86" s="6" t="s">
        <v>329</v>
      </c>
      <c r="F86" s="6" t="s">
        <v>550</v>
      </c>
      <c r="G86" s="6" t="s">
        <v>551</v>
      </c>
      <c r="H86" s="6"/>
      <c r="I86" s="6"/>
      <c r="J86" s="6"/>
      <c r="K86" s="6" t="s">
        <v>281</v>
      </c>
      <c r="L86" s="9" t="s">
        <v>103</v>
      </c>
      <c r="M86" s="7" t="s">
        <v>552</v>
      </c>
      <c r="N86" s="7" t="s">
        <v>87</v>
      </c>
      <c r="O86" s="7" t="s">
        <v>88</v>
      </c>
    </row>
    <row r="87" customFormat="false" ht="32.25" hidden="false" customHeight="true" outlineLevel="0" collapsed="false">
      <c r="A87" s="8" t="n">
        <v>83</v>
      </c>
      <c r="B87" s="6" t="s">
        <v>273</v>
      </c>
      <c r="C87" s="6" t="s">
        <v>274</v>
      </c>
      <c r="D87" s="6" t="s">
        <v>275</v>
      </c>
      <c r="E87" s="6" t="s">
        <v>329</v>
      </c>
      <c r="F87" s="6" t="s">
        <v>553</v>
      </c>
      <c r="G87" s="6" t="s">
        <v>554</v>
      </c>
      <c r="H87" s="6"/>
      <c r="I87" s="6"/>
      <c r="J87" s="6"/>
      <c r="K87" s="6" t="s">
        <v>281</v>
      </c>
      <c r="L87" s="9" t="s">
        <v>103</v>
      </c>
      <c r="M87" s="7" t="s">
        <v>555</v>
      </c>
      <c r="N87" s="7" t="s">
        <v>87</v>
      </c>
      <c r="O87" s="7" t="s">
        <v>88</v>
      </c>
    </row>
    <row r="88" customFormat="false" ht="32.25" hidden="false" customHeight="true" outlineLevel="0" collapsed="false">
      <c r="A88" s="8" t="n">
        <v>84</v>
      </c>
      <c r="B88" s="6" t="s">
        <v>273</v>
      </c>
      <c r="C88" s="6" t="s">
        <v>274</v>
      </c>
      <c r="D88" s="6" t="s">
        <v>275</v>
      </c>
      <c r="E88" s="6" t="s">
        <v>329</v>
      </c>
      <c r="F88" s="6" t="s">
        <v>556</v>
      </c>
      <c r="G88" s="6" t="s">
        <v>557</v>
      </c>
      <c r="H88" s="6"/>
      <c r="I88" s="6"/>
      <c r="J88" s="6"/>
      <c r="K88" s="6" t="s">
        <v>281</v>
      </c>
      <c r="L88" s="9" t="s">
        <v>103</v>
      </c>
      <c r="M88" s="7" t="s">
        <v>558</v>
      </c>
      <c r="N88" s="7" t="s">
        <v>87</v>
      </c>
      <c r="O88" s="7" t="s">
        <v>88</v>
      </c>
    </row>
    <row r="89" customFormat="false" ht="32.25" hidden="false" customHeight="true" outlineLevel="0" collapsed="false">
      <c r="A89" s="8" t="n">
        <v>85</v>
      </c>
      <c r="B89" s="6" t="s">
        <v>273</v>
      </c>
      <c r="C89" s="6" t="s">
        <v>274</v>
      </c>
      <c r="D89" s="6" t="s">
        <v>275</v>
      </c>
      <c r="E89" s="6" t="s">
        <v>329</v>
      </c>
      <c r="F89" s="6" t="s">
        <v>559</v>
      </c>
      <c r="G89" s="6" t="s">
        <v>560</v>
      </c>
      <c r="H89" s="6"/>
      <c r="I89" s="6"/>
      <c r="J89" s="6"/>
      <c r="K89" s="6" t="s">
        <v>281</v>
      </c>
      <c r="L89" s="9" t="s">
        <v>103</v>
      </c>
      <c r="M89" s="7" t="s">
        <v>561</v>
      </c>
      <c r="N89" s="7" t="s">
        <v>87</v>
      </c>
      <c r="O89" s="7" t="s">
        <v>88</v>
      </c>
    </row>
    <row r="90" customFormat="false" ht="32.25" hidden="false" customHeight="true" outlineLevel="0" collapsed="false">
      <c r="A90" s="8" t="n">
        <v>86</v>
      </c>
      <c r="B90" s="6" t="s">
        <v>273</v>
      </c>
      <c r="C90" s="6" t="s">
        <v>274</v>
      </c>
      <c r="D90" s="6" t="s">
        <v>275</v>
      </c>
      <c r="E90" s="6" t="s">
        <v>329</v>
      </c>
      <c r="F90" s="6" t="s">
        <v>562</v>
      </c>
      <c r="G90" s="6" t="s">
        <v>563</v>
      </c>
      <c r="H90" s="6"/>
      <c r="I90" s="6"/>
      <c r="J90" s="6"/>
      <c r="K90" s="6" t="s">
        <v>281</v>
      </c>
      <c r="L90" s="9" t="s">
        <v>103</v>
      </c>
      <c r="M90" s="7" t="s">
        <v>564</v>
      </c>
      <c r="N90" s="7" t="s">
        <v>87</v>
      </c>
      <c r="O90" s="7" t="s">
        <v>88</v>
      </c>
    </row>
    <row r="91" customFormat="false" ht="32.25" hidden="false" customHeight="true" outlineLevel="0" collapsed="false">
      <c r="A91" s="8" t="n">
        <v>87</v>
      </c>
      <c r="B91" s="6" t="s">
        <v>273</v>
      </c>
      <c r="C91" s="6" t="s">
        <v>274</v>
      </c>
      <c r="D91" s="6" t="s">
        <v>275</v>
      </c>
      <c r="E91" s="6" t="s">
        <v>301</v>
      </c>
      <c r="F91" s="6" t="s">
        <v>376</v>
      </c>
      <c r="G91" s="6" t="s">
        <v>565</v>
      </c>
      <c r="H91" s="6"/>
      <c r="I91" s="6"/>
      <c r="J91" s="6"/>
      <c r="K91" s="6" t="s">
        <v>281</v>
      </c>
      <c r="L91" s="9" t="s">
        <v>103</v>
      </c>
      <c r="M91" s="7" t="s">
        <v>566</v>
      </c>
      <c r="N91" s="7" t="s">
        <v>87</v>
      </c>
      <c r="O91" s="7" t="s">
        <v>88</v>
      </c>
    </row>
    <row r="92" customFormat="false" ht="32.25" hidden="false" customHeight="true" outlineLevel="0" collapsed="false">
      <c r="A92" s="8" t="n">
        <v>88</v>
      </c>
      <c r="B92" s="6" t="s">
        <v>273</v>
      </c>
      <c r="C92" s="6" t="s">
        <v>274</v>
      </c>
      <c r="D92" s="6" t="s">
        <v>275</v>
      </c>
      <c r="E92" s="6" t="s">
        <v>301</v>
      </c>
      <c r="F92" s="6" t="s">
        <v>567</v>
      </c>
      <c r="G92" s="6" t="s">
        <v>568</v>
      </c>
      <c r="H92" s="6"/>
      <c r="I92" s="6"/>
      <c r="J92" s="6"/>
      <c r="K92" s="6" t="s">
        <v>281</v>
      </c>
      <c r="L92" s="9" t="s">
        <v>103</v>
      </c>
      <c r="M92" s="7" t="s">
        <v>569</v>
      </c>
      <c r="N92" s="7" t="s">
        <v>87</v>
      </c>
      <c r="O92" s="7" t="s">
        <v>88</v>
      </c>
    </row>
    <row r="93" customFormat="false" ht="32.25" hidden="false" customHeight="true" outlineLevel="0" collapsed="false">
      <c r="A93" s="8" t="n">
        <v>89</v>
      </c>
      <c r="B93" s="6" t="s">
        <v>273</v>
      </c>
      <c r="C93" s="6" t="s">
        <v>274</v>
      </c>
      <c r="D93" s="6" t="s">
        <v>275</v>
      </c>
      <c r="E93" s="6" t="s">
        <v>301</v>
      </c>
      <c r="F93" s="6" t="s">
        <v>570</v>
      </c>
      <c r="G93" s="6" t="s">
        <v>571</v>
      </c>
      <c r="H93" s="6"/>
      <c r="I93" s="6"/>
      <c r="J93" s="6"/>
      <c r="K93" s="6" t="s">
        <v>281</v>
      </c>
      <c r="L93" s="9" t="s">
        <v>103</v>
      </c>
      <c r="M93" s="7" t="s">
        <v>572</v>
      </c>
      <c r="N93" s="7" t="s">
        <v>87</v>
      </c>
      <c r="O93" s="7" t="s">
        <v>88</v>
      </c>
    </row>
  </sheetData>
  <mergeCells count="2">
    <mergeCell ref="A1:O1"/>
    <mergeCell ref="A2:O2"/>
  </mergeCells>
  <conditionalFormatting sqref="L5:L93">
    <cfRule type="containsText" priority="2" operator="containsText" aboveAverage="0" equalAverage="0" bottom="0" percent="0" rank="0" text="CONFIRMADO" dxfId="10">
      <formula>NOT(ISERROR(SEARCH("CONFIRMADO",L5)))</formula>
    </cfRule>
    <cfRule type="containsText" priority="3" operator="containsText" aboveAverage="0" equalAverage="0" bottom="0" percent="0" rank="0" text="CORREGIR" dxfId="11">
      <formula>NOT(ISERROR(SEARCH("CORREGIR",L5)))</formula>
    </cfRule>
    <cfRule type="containsText" priority="4" operator="containsText" aboveAverage="0" equalAverage="0" bottom="0" percent="0" rank="0" text="DUDA" dxfId="12">
      <formula>NOT(ISERROR(SEARCH("DUDA",L5)))</formula>
    </cfRule>
    <cfRule type="containsText" priority="5" operator="containsText" aboveAverage="0" equalAverage="0" bottom="0" percent="0" rank="0" text="NO_LOCALIZADO" dxfId="11">
      <formula>NOT(ISERROR(SEARCH("NO_LOCALIZADO",L5)))</formula>
    </cfRule>
  </conditionalFormatting>
  <dataValidations count="1">
    <dataValidation allowBlank="false" errorStyle="stop" operator="between" showDropDown="false" showErrorMessage="false" showInputMessage="false" sqref="L5:L93" type="list">
      <formula1>"CONFIRMADO,CORREGIR,DUDA,NO_LOCALIZADO"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1"/>
    <col collapsed="false" customWidth="true" hidden="false" outlineLevel="0" max="3" min="3" style="0" width="14"/>
    <col collapsed="false" customWidth="true" hidden="false" outlineLevel="0" max="4" min="4" style="0" width="48"/>
    <col collapsed="false" customWidth="true" hidden="false" outlineLevel="0" max="5" min="5" style="0" width="34"/>
    <col collapsed="false" customWidth="true" hidden="false" outlineLevel="0" max="6" min="6" style="0" width="42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68"/>
    <col collapsed="false" customWidth="true" hidden="false" outlineLevel="0" max="10" min="10" style="0" width="18"/>
    <col collapsed="false" customWidth="true" hidden="false" outlineLevel="0" max="11" min="11" style="0" width="44"/>
    <col collapsed="false" customWidth="true" hidden="false" outlineLevel="0" max="12" min="12" style="0" width="18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" t="s">
        <v>573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4" hidden="false" customHeight="true" outlineLevel="0" collapsed="false">
      <c r="A2" s="2" t="s">
        <v>574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7.5" hidden="false" customHeight="true" outlineLevel="0" collapsed="false">
      <c r="A4" s="5" t="s">
        <v>35</v>
      </c>
      <c r="B4" s="5" t="s">
        <v>36</v>
      </c>
      <c r="C4" s="5" t="s">
        <v>37</v>
      </c>
      <c r="D4" s="5" t="s">
        <v>39</v>
      </c>
      <c r="E4" s="5" t="s">
        <v>286</v>
      </c>
      <c r="F4" s="5" t="s">
        <v>287</v>
      </c>
      <c r="G4" s="5" t="s">
        <v>288</v>
      </c>
      <c r="H4" s="5" t="s">
        <v>575</v>
      </c>
      <c r="I4" s="5" t="s">
        <v>61</v>
      </c>
      <c r="J4" s="5" t="s">
        <v>63</v>
      </c>
      <c r="K4" s="5" t="s">
        <v>576</v>
      </c>
      <c r="L4" s="5" t="s">
        <v>65</v>
      </c>
      <c r="M4" s="5" t="s">
        <v>66</v>
      </c>
    </row>
    <row r="5" customFormat="false" ht="32.25" hidden="false" customHeight="true" outlineLevel="0" collapsed="false">
      <c r="A5" s="6" t="n">
        <v>1</v>
      </c>
      <c r="B5" s="6" t="s">
        <v>577</v>
      </c>
      <c r="C5" s="6" t="s">
        <v>578</v>
      </c>
      <c r="D5" s="6" t="s">
        <v>579</v>
      </c>
      <c r="E5" s="6" t="s">
        <v>580</v>
      </c>
      <c r="F5" s="6" t="s">
        <v>581</v>
      </c>
      <c r="G5" s="6" t="s">
        <v>582</v>
      </c>
      <c r="H5" s="6" t="s">
        <v>583</v>
      </c>
      <c r="I5" s="6" t="s">
        <v>584</v>
      </c>
      <c r="J5" s="9" t="s">
        <v>120</v>
      </c>
      <c r="K5" s="7" t="s">
        <v>585</v>
      </c>
      <c r="L5" s="7" t="s">
        <v>87</v>
      </c>
      <c r="M5" s="7" t="s">
        <v>88</v>
      </c>
    </row>
    <row r="6" customFormat="false" ht="32.25" hidden="false" customHeight="true" outlineLevel="0" collapsed="false">
      <c r="A6" s="6" t="n">
        <v>2</v>
      </c>
      <c r="B6" s="6" t="s">
        <v>577</v>
      </c>
      <c r="C6" s="6" t="s">
        <v>578</v>
      </c>
      <c r="D6" s="6" t="s">
        <v>579</v>
      </c>
      <c r="E6" s="6" t="s">
        <v>586</v>
      </c>
      <c r="F6" s="6" t="s">
        <v>587</v>
      </c>
      <c r="G6" s="6" t="s">
        <v>582</v>
      </c>
      <c r="H6" s="6" t="s">
        <v>583</v>
      </c>
      <c r="I6" s="6" t="s">
        <v>584</v>
      </c>
      <c r="J6" s="9" t="s">
        <v>103</v>
      </c>
      <c r="K6" s="7" t="s">
        <v>588</v>
      </c>
      <c r="L6" s="7" t="s">
        <v>87</v>
      </c>
      <c r="M6" s="7" t="s">
        <v>88</v>
      </c>
    </row>
    <row r="7" customFormat="false" ht="32.25" hidden="false" customHeight="true" outlineLevel="0" collapsed="false">
      <c r="A7" s="6" t="n">
        <v>3</v>
      </c>
      <c r="B7" s="6" t="s">
        <v>577</v>
      </c>
      <c r="C7" s="6" t="s">
        <v>578</v>
      </c>
      <c r="D7" s="6" t="s">
        <v>579</v>
      </c>
      <c r="E7" s="6" t="s">
        <v>589</v>
      </c>
      <c r="F7" s="6" t="s">
        <v>590</v>
      </c>
      <c r="G7" s="6" t="s">
        <v>591</v>
      </c>
      <c r="H7" s="6" t="s">
        <v>583</v>
      </c>
      <c r="I7" s="6" t="s">
        <v>584</v>
      </c>
      <c r="J7" s="9" t="s">
        <v>103</v>
      </c>
      <c r="K7" s="7" t="s">
        <v>592</v>
      </c>
      <c r="L7" s="7" t="s">
        <v>87</v>
      </c>
      <c r="M7" s="7" t="s">
        <v>88</v>
      </c>
    </row>
    <row r="8" customFormat="false" ht="32.25" hidden="false" customHeight="true" outlineLevel="0" collapsed="false">
      <c r="A8" s="6" t="n">
        <v>4</v>
      </c>
      <c r="B8" s="6" t="s">
        <v>577</v>
      </c>
      <c r="C8" s="6" t="s">
        <v>578</v>
      </c>
      <c r="D8" s="6" t="s">
        <v>579</v>
      </c>
      <c r="E8" s="6" t="s">
        <v>593</v>
      </c>
      <c r="F8" s="6" t="s">
        <v>594</v>
      </c>
      <c r="G8" s="6" t="s">
        <v>595</v>
      </c>
      <c r="H8" s="6" t="s">
        <v>596</v>
      </c>
      <c r="I8" s="6" t="s">
        <v>584</v>
      </c>
      <c r="J8" s="9" t="s">
        <v>103</v>
      </c>
      <c r="K8" s="7" t="s">
        <v>597</v>
      </c>
      <c r="L8" s="7" t="s">
        <v>87</v>
      </c>
      <c r="M8" s="7" t="s">
        <v>88</v>
      </c>
    </row>
  </sheetData>
  <mergeCells count="2">
    <mergeCell ref="A1:M1"/>
    <mergeCell ref="A2:M2"/>
  </mergeCells>
  <conditionalFormatting sqref="J5:J8">
    <cfRule type="containsText" priority="2" operator="containsText" aboveAverage="0" equalAverage="0" bottom="0" percent="0" rank="0" text="CONFIRMADO" dxfId="10">
      <formula>NOT(ISERROR(SEARCH("CONFIRMADO",J5)))</formula>
    </cfRule>
    <cfRule type="containsText" priority="3" operator="containsText" aboveAverage="0" equalAverage="0" bottom="0" percent="0" rank="0" text="CORREGIR" dxfId="11">
      <formula>NOT(ISERROR(SEARCH("CORREGIR",J5)))</formula>
    </cfRule>
    <cfRule type="containsText" priority="4" operator="containsText" aboveAverage="0" equalAverage="0" bottom="0" percent="0" rank="0" text="DUDA" dxfId="12">
      <formula>NOT(ISERROR(SEARCH("DUDA",J5)))</formula>
    </cfRule>
    <cfRule type="containsText" priority="5" operator="containsText" aboveAverage="0" equalAverage="0" bottom="0" percent="0" rank="0" text="NO_LOCALIZADO" dxfId="11">
      <formula>NOT(ISERROR(SEARCH("NO_LOCALIZADO",J5)))</formula>
    </cfRule>
  </conditionalFormatting>
  <dataValidations count="1">
    <dataValidation allowBlank="false" errorStyle="stop" operator="between" showDropDown="false" showErrorMessage="false" showInputMessage="false" sqref="J5:J8" type="list">
      <formula1>"CONFIRMADO,CORREGIR,DUDA,NO_LOCALIZADO"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2026-10-17T07:25:28Z</dcterms:created>
  <dc:creator>openpyxl</dc:creator>
  <dc:description/>
  <dc:language>en-US</dc:language>
  <cp:lastModifiedBy/>
  <dcterms:modified xsi:type="dcterms:W3CDTF">2026-10-17T07:25:28Z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